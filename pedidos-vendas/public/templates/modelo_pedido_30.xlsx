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codigos\sistema-pedidos-celular\pedidos-vendas\public\templates\"/>
    </mc:Choice>
  </mc:AlternateContent>
  <xr:revisionPtr revIDLastSave="0" documentId="8_{9E17483A-3E38-40F1-A70A-93DE2A24143F}" xr6:coauthVersionLast="47" xr6:coauthVersionMax="47" xr10:uidLastSave="{00000000-0000-0000-0000-000000000000}"/>
  <bookViews>
    <workbookView xWindow="-120" yWindow="-120" windowWidth="29040" windowHeight="15720" firstSheet="1" activeTab="1" xr2:uid="{367FBE9A-E609-490D-BC37-C5A7DD80200C}"/>
  </bookViews>
  <sheets>
    <sheet name="Modelo" sheetId="4" state="hidden" r:id="rId1"/>
    <sheet name="Pedido" sheetId="1" r:id="rId2"/>
    <sheet name="Cadastro" sheetId="2" state="hidden" r:id="rId3"/>
  </sheets>
  <definedNames>
    <definedName name="_xlnm.Print_Area" localSheetId="1">Pedido!$A$1:$H$48</definedName>
  </definedNames>
  <calcPr calcId="191028"/>
  <customWorkbookViews>
    <customWorkbookView name="teste" guid="{85BC35B6-26B9-4872-96A0-51D7DF728029}" maximized="1" xWindow="-8" yWindow="-8" windowWidth="1382" windowHeight="74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0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35" i="4" l="1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H12" i="4"/>
  <c r="G37" i="4"/>
  <c r="A12" i="4"/>
  <c r="H11" i="4"/>
  <c r="H11" i="1"/>
  <c r="G44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<sst xmlns="http://schemas.openxmlformats.org/spreadsheetml/2006/main" count="256" uniqueCount="229">
  <si>
    <t>MARCA:</t>
  </si>
  <si>
    <t>Pedido n°:</t>
  </si>
  <si>
    <t>Nome:</t>
  </si>
  <si>
    <t>Código do cliente:</t>
  </si>
  <si>
    <t>CPF / CNPJ:</t>
  </si>
  <si>
    <t>Telefone:</t>
  </si>
  <si>
    <t>Endereço:</t>
  </si>
  <si>
    <t>Bairro:</t>
  </si>
  <si>
    <t>Cidade / Estado:</t>
  </si>
  <si>
    <t>CEP:</t>
  </si>
  <si>
    <t>Transportadora:</t>
  </si>
  <si>
    <t>Condição de pagamento:</t>
  </si>
  <si>
    <t>Local da Entrega:</t>
  </si>
  <si>
    <t>Item</t>
  </si>
  <si>
    <t>Qtd</t>
  </si>
  <si>
    <t xml:space="preserve">Embalagem </t>
  </si>
  <si>
    <t>Descrição do produto</t>
  </si>
  <si>
    <t>Cor</t>
  </si>
  <si>
    <t>Padrão / Complemento</t>
  </si>
  <si>
    <t>Valor Unit</t>
  </si>
  <si>
    <t>Total</t>
  </si>
  <si>
    <t>DATA</t>
  </si>
  <si>
    <t>REPRESENTANTE</t>
  </si>
  <si>
    <t>VALOR DO PEDIDO:</t>
  </si>
  <si>
    <t>NOME E TELEFONE</t>
  </si>
  <si>
    <t>E-MAIL</t>
  </si>
  <si>
    <r>
      <rPr>
        <b/>
        <sz val="11"/>
        <color rgb="FFFF0000"/>
        <rFont val="Calibri"/>
        <family val="2"/>
        <scheme val="minor"/>
      </rPr>
      <t>MANTER AS REVISÕES NOS PEDIDOS</t>
    </r>
    <r>
      <rPr>
        <b/>
        <sz val="11"/>
        <color theme="1"/>
        <rFont val="Calibri"/>
        <family val="2"/>
        <scheme val="minor"/>
      </rPr>
      <t xml:space="preserve">
REVISÃO (COLOCAR DATA):  DESCREVER O QUE FOI MUDADO
REVISÃO (COLOCAR DATA):  DESCREVER O QUE FOI MUDADO</t>
    </r>
  </si>
  <si>
    <t>Embalagens</t>
  </si>
  <si>
    <t>1/16 225 ml</t>
  </si>
  <si>
    <t>1/4 900 ml</t>
  </si>
  <si>
    <t>BD 16 L</t>
  </si>
  <si>
    <t>BD 16,2 L</t>
  </si>
  <si>
    <t>BD 18 kg</t>
  </si>
  <si>
    <t>BD 18 L</t>
  </si>
  <si>
    <t>BD 25 kg</t>
  </si>
  <si>
    <t>CX 16 L</t>
  </si>
  <si>
    <t>CX 20 kg</t>
  </si>
  <si>
    <t>GL 3,24 L</t>
  </si>
  <si>
    <t>GL 3,4 L</t>
  </si>
  <si>
    <t>GL 3,6 kg</t>
  </si>
  <si>
    <t>GL 3,6 L</t>
  </si>
  <si>
    <t>GL 4,4 kg</t>
  </si>
  <si>
    <t>GL 5,0 L</t>
  </si>
  <si>
    <t>GL 6,0 kg</t>
  </si>
  <si>
    <t>PT 1,5 kg</t>
  </si>
  <si>
    <t>PT 810 ml</t>
  </si>
  <si>
    <t>PT 900 ml</t>
  </si>
  <si>
    <t>SC 15 kg</t>
  </si>
  <si>
    <t>TB 180 L</t>
  </si>
  <si>
    <t>TB 200 L</t>
  </si>
  <si>
    <t>Aguarrás</t>
  </si>
  <si>
    <t>Arenito especial fino</t>
  </si>
  <si>
    <t>Arenito especial médio</t>
  </si>
  <si>
    <t>Arenito especial grosso</t>
  </si>
  <si>
    <t>Arenito glitz fino</t>
  </si>
  <si>
    <t>Arenito glitz médio</t>
  </si>
  <si>
    <t>Arenito glitz grosso</t>
  </si>
  <si>
    <t>Arenito fino</t>
  </si>
  <si>
    <t>Arenito médio</t>
  </si>
  <si>
    <t>Arenito grosso</t>
  </si>
  <si>
    <t>Arenito pedras</t>
  </si>
  <si>
    <t>Arranhado #10</t>
  </si>
  <si>
    <t>Arranhado #12</t>
  </si>
  <si>
    <t>Arranhado #14</t>
  </si>
  <si>
    <t>Arranhado #20</t>
  </si>
  <si>
    <t>Arranhado # 08</t>
  </si>
  <si>
    <t>Arranhado glitz # 08</t>
  </si>
  <si>
    <t>Arranhado glitz # 10</t>
  </si>
  <si>
    <t>Arranhado glitz # 12</t>
  </si>
  <si>
    <t>Arranhado glitz # 14</t>
  </si>
  <si>
    <t>Arranhado glitz # 20</t>
  </si>
  <si>
    <t>Batida de pedra</t>
  </si>
  <si>
    <t>Cimento queimado</t>
  </si>
  <si>
    <t>Colorantes</t>
  </si>
  <si>
    <t>Diluente para demarcação</t>
  </si>
  <si>
    <t>Esmalte alumínio</t>
  </si>
  <si>
    <t>Esmalte industrial brilhante</t>
  </si>
  <si>
    <t>Esmalte sintético acetinado</t>
  </si>
  <si>
    <t>Esmalte sintético brilhante</t>
  </si>
  <si>
    <t>Esmalte sintético fosco</t>
  </si>
  <si>
    <t>Esmalte sintético metálico</t>
  </si>
  <si>
    <t>Esmaltes dupla função</t>
  </si>
  <si>
    <t xml:space="preserve">Gel envelhecedor </t>
  </si>
  <si>
    <t>Hidroflex manta líquida</t>
  </si>
  <si>
    <t>Hidroflex microrrevestimento</t>
  </si>
  <si>
    <t>Hidroflex para fachadas</t>
  </si>
  <si>
    <t>Hidroflex para texturas</t>
  </si>
  <si>
    <t>Hidroflex sela trinca</t>
  </si>
  <si>
    <t>Hidrofugante</t>
  </si>
  <si>
    <t>Marmorizado</t>
  </si>
  <si>
    <t>Massa acrílica</t>
  </si>
  <si>
    <t>Massa corrida PVA</t>
  </si>
  <si>
    <t>Microrrevestimento</t>
  </si>
  <si>
    <t>Primer industrial</t>
  </si>
  <si>
    <t>Primer my colors</t>
  </si>
  <si>
    <t>Primer para arranhado</t>
  </si>
  <si>
    <t>Querosene</t>
  </si>
  <si>
    <t>Regularizador de paredes</t>
  </si>
  <si>
    <t>Resina multiuso base d´água</t>
  </si>
  <si>
    <t>Resina multiuso base de solvente</t>
  </si>
  <si>
    <t>Sanitizante</t>
  </si>
  <si>
    <t>Selador acrílico</t>
  </si>
  <si>
    <t>Selador acrílico pigmentado</t>
  </si>
  <si>
    <t>Selador para gesso</t>
  </si>
  <si>
    <t>Selador para textura</t>
  </si>
  <si>
    <t>Seladora extra para madeira</t>
  </si>
  <si>
    <t>Textura design</t>
  </si>
  <si>
    <t>Textura lisa</t>
  </si>
  <si>
    <t>Textura predial</t>
  </si>
  <si>
    <t>Textura rústica # 08</t>
  </si>
  <si>
    <t>Textura rústica #10</t>
  </si>
  <si>
    <t>Textura rústica #12</t>
  </si>
  <si>
    <t>Textura rústica #14</t>
  </si>
  <si>
    <t>Textura rústica #20</t>
  </si>
  <si>
    <t>Textura rústica glitz # 08</t>
  </si>
  <si>
    <t>Textura rústica glitz # 10</t>
  </si>
  <si>
    <t>Textura rústica glitz # 12</t>
  </si>
  <si>
    <t>Textura rústica glitz # 14</t>
  </si>
  <si>
    <t>Textura rústica glitz # 20</t>
  </si>
  <si>
    <t>Thinner 8116</t>
  </si>
  <si>
    <t>Thinner 8151</t>
  </si>
  <si>
    <t>Thinner 8800</t>
  </si>
  <si>
    <t>Thinner Epóxi</t>
  </si>
  <si>
    <t>Tinta para piso</t>
  </si>
  <si>
    <t>Tinta para piso extra</t>
  </si>
  <si>
    <t>Verniz acrílico brilhante</t>
  </si>
  <si>
    <t>Verniz copal incolor</t>
  </si>
  <si>
    <t>Verniz incolor (com Filtro Solar)</t>
  </si>
  <si>
    <t>Verniz marítimo</t>
  </si>
  <si>
    <t>Verniz tingidor (com Filtro Solar)</t>
  </si>
  <si>
    <t>Zarcão</t>
  </si>
  <si>
    <t>Condição de pagamento</t>
  </si>
  <si>
    <t>Dinheiro</t>
  </si>
  <si>
    <t>Pix</t>
  </si>
  <si>
    <t>Crédito 1x</t>
  </si>
  <si>
    <t>Crédito 2x</t>
  </si>
  <si>
    <t>Crédito 3x</t>
  </si>
  <si>
    <t>Crédito 4x</t>
  </si>
  <si>
    <t>Crédito 5x</t>
  </si>
  <si>
    <t>Crédito 6x</t>
  </si>
  <si>
    <t>Crédito 7x</t>
  </si>
  <si>
    <t>Crédito 8x</t>
  </si>
  <si>
    <t>Crédito 9x</t>
  </si>
  <si>
    <t>Crédito 10x</t>
  </si>
  <si>
    <t>Crédito 11x</t>
  </si>
  <si>
    <t>Crédito 12x</t>
  </si>
  <si>
    <t>Débito</t>
  </si>
  <si>
    <t>Boleto 30</t>
  </si>
  <si>
    <t>Boleto 30 / 60</t>
  </si>
  <si>
    <t>Boleto 30 / 60 / 90</t>
  </si>
  <si>
    <t>Boleto 30 / 60 / 90 / 120 / 150</t>
  </si>
  <si>
    <t>Boleto 30 / 60 / 90 / 120 / 150 / 180</t>
  </si>
  <si>
    <t>Carteira 30</t>
  </si>
  <si>
    <t>Carteira 30 / 60</t>
  </si>
  <si>
    <t>Carteira 30 / 60 / 90</t>
  </si>
  <si>
    <t>Cheque 30</t>
  </si>
  <si>
    <t>Cheque 30 / 60</t>
  </si>
  <si>
    <t>Cheque 30 / 60 / 90</t>
  </si>
  <si>
    <t>Cheque 30 / 60 / 90 / 120 / 150</t>
  </si>
  <si>
    <t>Cheque 30 / 60 / 90 / 120 / 150 / 180</t>
  </si>
  <si>
    <t>MODELO - TODOS OS CAMPOS DEVEM SER PREENCHIDOS</t>
  </si>
  <si>
    <t xml:space="preserve">Hidroflex multiuso </t>
  </si>
  <si>
    <t>Verniz acrílico alta resist acetinado</t>
  </si>
  <si>
    <t>Verniz acrílico alta resist brilhante</t>
  </si>
  <si>
    <t>Tinta Demarcação Viária B Solvente</t>
  </si>
  <si>
    <t>Tinta Demarcação Viária B Água</t>
  </si>
  <si>
    <t>Boleto 7 dias</t>
  </si>
  <si>
    <t>Boleto 30/ 45 / 60</t>
  </si>
  <si>
    <t>Boleto 30 / 45 / 60 / 75 / 90</t>
  </si>
  <si>
    <t>Boleto 7 / 14</t>
  </si>
  <si>
    <t>Tinta acrílica ECONÔMICA Canindé</t>
  </si>
  <si>
    <t>Tinta acrílica ECONÔMICA Poptex</t>
  </si>
  <si>
    <t>Boleto 15 dias</t>
  </si>
  <si>
    <t>Boleto 30 / 60 / 90 / 120</t>
  </si>
  <si>
    <t>Arenito pedras glitz</t>
  </si>
  <si>
    <t>Boleto 28/ 42 / 56</t>
  </si>
  <si>
    <t>Acrílico Premium Fosco OW</t>
  </si>
  <si>
    <t>Acrílico Premium Fosco G1</t>
  </si>
  <si>
    <t>Acrílico Premium Fosco G2</t>
  </si>
  <si>
    <t>Acrílico Premium Fosco G3</t>
  </si>
  <si>
    <t>Acrílico Premium Fosco G4</t>
  </si>
  <si>
    <t>Acrílico Premium Fosco G5</t>
  </si>
  <si>
    <t>Acrílico Premium Fosco G6</t>
  </si>
  <si>
    <t>Acrílico Premium Acetinado OW</t>
  </si>
  <si>
    <t>Acrílico Premium Acetinado G1</t>
  </si>
  <si>
    <t>Acrílico Premium Acetinado G2</t>
  </si>
  <si>
    <t>Acrílico Premium Acetinado G3</t>
  </si>
  <si>
    <t>Acrílico Premium Acetinado G4</t>
  </si>
  <si>
    <t>Acrílico Premium Acetinado G5</t>
  </si>
  <si>
    <t>Acrílico Premium Acetinado G6</t>
  </si>
  <si>
    <t>Acrílico Premium Semibrilho OW</t>
  </si>
  <si>
    <t>Acrílico Premium Semibrilho G1</t>
  </si>
  <si>
    <t>Acrílico Premium Semibrilho G2</t>
  </si>
  <si>
    <t>Acrílico Premium Semibrilho G3</t>
  </si>
  <si>
    <t>Acrílico Premium Semibrilho G4</t>
  </si>
  <si>
    <t>Acrílico Premium Semibrilho G5</t>
  </si>
  <si>
    <t>Acrílico Premium Semibrilho G6</t>
  </si>
  <si>
    <t>Tinta acrílica PREMIUM acetinada Arara A</t>
  </si>
  <si>
    <t>Tinta acrílica PREMIUM fosca Arara A</t>
  </si>
  <si>
    <t>Tinta acrílica PREMIUM semibrilho Arara A</t>
  </si>
  <si>
    <t>Tinta acrílica RENDE MUITO MAIS Arara A</t>
  </si>
  <si>
    <t>Tinta acrílica STANDARD Arara A</t>
  </si>
  <si>
    <t>LT 18 L</t>
  </si>
  <si>
    <t>Embalagem vazia</t>
  </si>
  <si>
    <t>Boleto 28</t>
  </si>
  <si>
    <t>Boleto 28/ 42</t>
  </si>
  <si>
    <t>BD 22 kg</t>
  </si>
  <si>
    <t>Textura projetada</t>
  </si>
  <si>
    <t>Boleto 30 / 45 / 60 / 75 / 90 / 105 / 120</t>
  </si>
  <si>
    <t>Boleto 30 / 45 / 60 / 75 / 90 / 105 / 120 / 135 / 150</t>
  </si>
  <si>
    <t>BD 20 kg</t>
  </si>
  <si>
    <t>Boleto 75</t>
  </si>
  <si>
    <t>FORMA DE SOLICITAÇÃO</t>
  </si>
  <si>
    <t>Fundo Prep Premium bse d'água</t>
  </si>
  <si>
    <t>Fundo Prep Premium EASY  bse d'água</t>
  </si>
  <si>
    <t>Fundo Preparador b de solvente</t>
  </si>
  <si>
    <t>Fundo Prep Standard bse d'água</t>
  </si>
  <si>
    <t>Hidroflex borracha líquida c/ PU</t>
  </si>
  <si>
    <t>Tinta acrílica STANDARD EASY Arara A</t>
  </si>
  <si>
    <t>BD 21,5 kg</t>
  </si>
  <si>
    <t>GL 4,5 kg</t>
  </si>
  <si>
    <t>Massa para drywall</t>
  </si>
  <si>
    <t>Massa corrida Easy</t>
  </si>
  <si>
    <t>Tinta acrílica CONSTRUÇÃO Arara Azul</t>
  </si>
  <si>
    <t>Boleto 7 / 14 / 21</t>
  </si>
  <si>
    <t>Boleto 7 / 14 / 21 / 28</t>
  </si>
  <si>
    <t>Subtotal</t>
  </si>
  <si>
    <t>Desconto(0%)</t>
  </si>
  <si>
    <r>
      <t xml:space="preserve">REVISÃO (DATA):
REVISÃO (DATA):
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10"/>
        <color theme="1"/>
        <rFont val="Calibri"/>
        <family val="2"/>
        <scheme val="minor"/>
      </rPr>
      <t xml:space="preserve"> Versão [31/07/2026]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</si>
</sst>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Bookman Old Style"/>
      <family val="1"/>
    </font>
    <font>
      <b/>
      <sz val="14"/>
      <color indexed="8"/>
      <name val="Calibri"/>
      <family val="2"/>
    </font>
    <font>
      <b/>
      <sz val="20"/>
      <name val="Calibri"/>
      <family val="2"/>
    </font>
    <font>
      <sz val="14"/>
      <color theme="1"/>
      <name val="Calibri"/>
      <family val="2"/>
      <scheme val="minor"/>
    </font>
    <font>
      <b/>
      <sz val="14"/>
      <name val="Tahoma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rgb="FF000000"/>
      <name val="Calibri"/>
      <family val="2"/>
      <scheme val="minor"/>
    </font>
    <font>
      <b/>
      <sz val="13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3"/>
      <color indexed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5">
    <xf numFmtId="0" fontId="0" fillId="0" borderId="0" xfId="0"/>
    <xf numFmtId="2" fontId="4" fillId="2" borderId="4" xfId="1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 vertical="center"/>
    </xf>
    <xf numFmtId="4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2" fontId="9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2" fontId="10" fillId="0" borderId="23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vertical="center"/>
    </xf>
    <xf numFmtId="0" fontId="2" fillId="3" borderId="0" xfId="0" applyFont="1" applyFill="1"/>
    <xf numFmtId="0" fontId="15" fillId="3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4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/>
    <xf numFmtId="0" fontId="0" fillId="0" borderId="23" xfId="0" applyBorder="1"/>
    <xf numFmtId="2" fontId="4" fillId="0" borderId="12" xfId="1" applyNumberFormat="1" applyFont="1" applyBorder="1" applyAlignment="1">
      <alignment horizontal="left" vertical="center"/>
    </xf>
    <xf numFmtId="2" fontId="17" fillId="2" borderId="28" xfId="1" applyNumberFormat="1" applyFont="1" applyFill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2" fontId="20" fillId="0" borderId="12" xfId="1" applyNumberFormat="1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2" fontId="8" fillId="0" borderId="39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4" fontId="8" fillId="0" borderId="49" xfId="0" applyNumberFormat="1" applyFont="1" applyBorder="1" applyAlignment="1">
      <alignment horizontal="center" vertical="center"/>
    </xf>
    <xf numFmtId="4" fontId="8" fillId="0" borderId="21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" fontId="9" fillId="0" borderId="4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 vertical="center" wrapText="1"/>
    </xf>
    <xf numFmtId="1" fontId="9" fillId="0" borderId="22" xfId="0" applyNumberFormat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4" fontId="8" fillId="0" borderId="50" xfId="0" applyNumberFormat="1" applyFont="1" applyBorder="1" applyAlignment="1">
      <alignment horizontal="center" vertical="center"/>
    </xf>
    <xf numFmtId="4" fontId="8" fillId="0" borderId="2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2" fontId="8" fillId="2" borderId="15" xfId="0" applyNumberFormat="1" applyFont="1" applyFill="1" applyBorder="1" applyAlignment="1">
      <alignment horizontal="center" vertical="center"/>
    </xf>
    <xf numFmtId="2" fontId="8" fillId="2" borderId="16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11" fillId="0" borderId="31" xfId="0" applyNumberFormat="1" applyFont="1" applyBorder="1" applyAlignment="1">
      <alignment horizontal="center" vertical="center"/>
    </xf>
    <xf numFmtId="14" fontId="11" fillId="0" borderId="10" xfId="0" applyNumberFormat="1" applyFont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14" fontId="11" fillId="0" borderId="32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64" fontId="11" fillId="0" borderId="30" xfId="0" applyNumberFormat="1" applyFont="1" applyBorder="1" applyAlignment="1">
      <alignment horizontal="center" vertical="center"/>
    </xf>
    <xf numFmtId="164" fontId="11" fillId="0" borderId="31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32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1" fontId="16" fillId="2" borderId="5" xfId="0" applyNumberFormat="1" applyFont="1" applyFill="1" applyBorder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4" fontId="11" fillId="0" borderId="3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1" fontId="16" fillId="0" borderId="47" xfId="0" applyNumberFormat="1" applyFont="1" applyBorder="1" applyAlignment="1">
      <alignment horizontal="left" vertical="center"/>
    </xf>
    <xf numFmtId="1" fontId="16" fillId="0" borderId="14" xfId="0" applyNumberFormat="1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2" fontId="8" fillId="2" borderId="1" xfId="0" applyNumberFormat="1" applyFont="1" applyFill="1" applyBorder="1" applyAlignment="1">
      <alignment horizontal="center" vertical="center"/>
    </xf>
    <xf numFmtId="2" fontId="8" fillId="2" borderId="10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40" xfId="0" applyFont="1" applyFill="1" applyBorder="1" applyAlignment="1">
      <alignment horizontal="left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1" fontId="19" fillId="2" borderId="40" xfId="0" applyNumberFormat="1" applyFont="1" applyFill="1" applyBorder="1" applyAlignment="1">
      <alignment horizontal="center" vertical="center"/>
    </xf>
    <xf numFmtId="1" fontId="19" fillId="2" borderId="2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left" vertical="center"/>
    </xf>
    <xf numFmtId="1" fontId="21" fillId="0" borderId="36" xfId="0" applyNumberFormat="1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20" fillId="0" borderId="41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21" fillId="0" borderId="43" xfId="0" applyFont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20" fillId="0" borderId="46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1" fontId="21" fillId="0" borderId="44" xfId="0" applyNumberFormat="1" applyFont="1" applyBorder="1" applyAlignment="1">
      <alignment horizontal="left" vertical="center"/>
    </xf>
    <xf numFmtId="1" fontId="21" fillId="0" borderId="6" xfId="0" applyNumberFormat="1" applyFont="1" applyBorder="1" applyAlignment="1">
      <alignment horizontal="left" vertical="center"/>
    </xf>
    <xf numFmtId="0" fontId="20" fillId="0" borderId="44" xfId="1" applyNumberFormat="1" applyFont="1" applyBorder="1" applyAlignment="1">
      <alignment horizontal="left" vertical="center"/>
    </xf>
    <xf numFmtId="0" fontId="20" fillId="0" borderId="6" xfId="1" applyNumberFormat="1" applyFont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2">
    <dxf>
      <font>
        <strike val="0"/>
        <color theme="0"/>
      </font>
    </dxf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6</xdr:col>
      <xdr:colOff>433917</xdr:colOff>
      <xdr:row>15</xdr:row>
      <xdr:rowOff>158750</xdr:rowOff>
    </xdr:to>
    <xdr:sp macro="" textlink="">
      <xdr:nvSpPr>
        <xdr:cNvPr id="2" name="Balão de Fala: Retângulo 1">
          <a:extLst>
            <a:ext uri="{FF2B5EF4-FFF2-40B4-BE49-F238E27FC236}">
              <a16:creationId xmlns:a16="http://schemas.microsoft.com/office/drawing/2014/main" id="{2618FDD1-8443-4D42-9560-A29C20AAA998}"/>
            </a:ext>
          </a:extLst>
        </xdr:cNvPr>
        <xdr:cNvSpPr/>
      </xdr:nvSpPr>
      <xdr:spPr>
        <a:xfrm>
          <a:off x="5905500" y="3227917"/>
          <a:ext cx="2381250" cy="1428750"/>
        </a:xfrm>
        <a:prstGeom prst="wedgeRectCallout">
          <a:avLst>
            <a:gd name="adj1" fmla="val -16911"/>
            <a:gd name="adj2" fmla="val -72315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SEMPRE COLOCAR</a:t>
          </a:r>
          <a:r>
            <a:rPr lang="pt-BR" sz="2000" b="1" baseline="0"/>
            <a:t> O ÚLTIMO COMPLEMENTO</a:t>
          </a:r>
          <a:endParaRPr lang="pt-BR" sz="2000" b="1"/>
        </a:p>
      </xdr:txBody>
    </xdr:sp>
    <xdr:clientData/>
  </xdr:twoCellAnchor>
  <xdr:twoCellAnchor>
    <xdr:from>
      <xdr:col>3</xdr:col>
      <xdr:colOff>31750</xdr:colOff>
      <xdr:row>2</xdr:row>
      <xdr:rowOff>306917</xdr:rowOff>
    </xdr:from>
    <xdr:to>
      <xdr:col>3</xdr:col>
      <xdr:colOff>2190750</xdr:colOff>
      <xdr:row>7</xdr:row>
      <xdr:rowOff>148167</xdr:rowOff>
    </xdr:to>
    <xdr:sp macro="" textlink="">
      <xdr:nvSpPr>
        <xdr:cNvPr id="3" name="Balão de Fala: Retângulo 2">
          <a:extLst>
            <a:ext uri="{FF2B5EF4-FFF2-40B4-BE49-F238E27FC236}">
              <a16:creationId xmlns:a16="http://schemas.microsoft.com/office/drawing/2014/main" id="{2C5A383A-509D-4AA9-A7F8-4C83F690B64E}"/>
            </a:ext>
          </a:extLst>
        </xdr:cNvPr>
        <xdr:cNvSpPr/>
      </xdr:nvSpPr>
      <xdr:spPr>
        <a:xfrm>
          <a:off x="1905000" y="920750"/>
          <a:ext cx="2159000" cy="1428750"/>
        </a:xfrm>
        <a:prstGeom prst="wedgeRectCallout">
          <a:avLst>
            <a:gd name="adj1" fmla="val -63480"/>
            <a:gd name="adj2" fmla="val 6842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200" b="1"/>
            <a:t>DEVE CONTER TIPO E VOLUME OU PESO</a:t>
          </a:r>
        </a:p>
      </xdr:txBody>
    </xdr:sp>
    <xdr:clientData/>
  </xdr:twoCellAnchor>
  <xdr:twoCellAnchor>
    <xdr:from>
      <xdr:col>3</xdr:col>
      <xdr:colOff>52917</xdr:colOff>
      <xdr:row>10</xdr:row>
      <xdr:rowOff>232834</xdr:rowOff>
    </xdr:from>
    <xdr:to>
      <xdr:col>3</xdr:col>
      <xdr:colOff>2434167</xdr:colOff>
      <xdr:row>15</xdr:row>
      <xdr:rowOff>74084</xdr:rowOff>
    </xdr:to>
    <xdr:sp macro="" textlink="">
      <xdr:nvSpPr>
        <xdr:cNvPr id="4" name="Balão de Fala: Retângulo 3">
          <a:extLst>
            <a:ext uri="{FF2B5EF4-FFF2-40B4-BE49-F238E27FC236}">
              <a16:creationId xmlns:a16="http://schemas.microsoft.com/office/drawing/2014/main" id="{3485A46F-12A9-43AC-ACF2-0B5A17EF6483}"/>
            </a:ext>
          </a:extLst>
        </xdr:cNvPr>
        <xdr:cNvSpPr/>
      </xdr:nvSpPr>
      <xdr:spPr>
        <a:xfrm>
          <a:off x="1926167" y="3143251"/>
          <a:ext cx="2381250" cy="1428750"/>
        </a:xfrm>
        <a:prstGeom prst="wedgeRectCallout">
          <a:avLst>
            <a:gd name="adj1" fmla="val -16911"/>
            <a:gd name="adj2" fmla="val -72315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PESQUISAR PELO NOME DO</a:t>
          </a:r>
          <a:r>
            <a:rPr lang="pt-BR" sz="2000" b="1" baseline="0"/>
            <a:t> PRODUTO</a:t>
          </a:r>
          <a:br>
            <a:rPr lang="pt-BR" sz="2000" b="1" baseline="0"/>
          </a:br>
          <a:r>
            <a:rPr lang="pt-BR" sz="1400" b="1" baseline="0">
              <a:solidFill>
                <a:srgbClr val="FF0000"/>
              </a:solidFill>
            </a:rPr>
            <a:t>NÃO ALTERAR NOMES</a:t>
          </a:r>
          <a:endParaRPr lang="pt-BR" sz="20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455083</xdr:colOff>
      <xdr:row>2</xdr:row>
      <xdr:rowOff>306917</xdr:rowOff>
    </xdr:from>
    <xdr:to>
      <xdr:col>5</xdr:col>
      <xdr:colOff>1407583</xdr:colOff>
      <xdr:row>7</xdr:row>
      <xdr:rowOff>148167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6F5B328-A805-4F6C-8E89-239F058C38CF}"/>
            </a:ext>
          </a:extLst>
        </xdr:cNvPr>
        <xdr:cNvSpPr/>
      </xdr:nvSpPr>
      <xdr:spPr>
        <a:xfrm>
          <a:off x="4783666" y="920750"/>
          <a:ext cx="2529417" cy="142875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OBSERVAÇÕES</a:t>
          </a:r>
          <a:r>
            <a:rPr lang="pt-BR" sz="2000" b="1" baseline="0"/>
            <a:t> DEVEM SER COLOCADAS NESSAS COLUNAS</a:t>
          </a:r>
          <a:endParaRPr lang="pt-BR" sz="2000" b="1"/>
        </a:p>
      </xdr:txBody>
    </xdr:sp>
    <xdr:clientData/>
  </xdr:twoCellAnchor>
  <xdr:twoCellAnchor>
    <xdr:from>
      <xdr:col>4</xdr:col>
      <xdr:colOff>846667</xdr:colOff>
      <xdr:row>7</xdr:row>
      <xdr:rowOff>158750</xdr:rowOff>
    </xdr:from>
    <xdr:to>
      <xdr:col>4</xdr:col>
      <xdr:colOff>963084</xdr:colOff>
      <xdr:row>8</xdr:row>
      <xdr:rowOff>129250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97E827B1-D5B7-B5C9-9D20-35218963C7B2}"/>
            </a:ext>
          </a:extLst>
        </xdr:cNvPr>
        <xdr:cNvCxnSpPr/>
      </xdr:nvCxnSpPr>
      <xdr:spPr>
        <a:xfrm flipH="1">
          <a:off x="5175250" y="2360083"/>
          <a:ext cx="116417" cy="288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857250</xdr:colOff>
      <xdr:row>7</xdr:row>
      <xdr:rowOff>158750</xdr:rowOff>
    </xdr:from>
    <xdr:to>
      <xdr:col>5</xdr:col>
      <xdr:colOff>941916</xdr:colOff>
      <xdr:row>8</xdr:row>
      <xdr:rowOff>129250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0B0AE69-DD67-4AC1-87E4-10A3A1EA591C}"/>
            </a:ext>
          </a:extLst>
        </xdr:cNvPr>
        <xdr:cNvCxnSpPr/>
      </xdr:nvCxnSpPr>
      <xdr:spPr>
        <a:xfrm>
          <a:off x="6762750" y="2360083"/>
          <a:ext cx="84666" cy="288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D8DC-AD8F-4876-9D73-7C9F7168699B}">
  <sheetPr codeName="Planilha1">
    <pageSetUpPr fitToPage="1"/>
  </sheetPr>
  <dimension ref="A1:H68"/>
  <sheetViews>
    <sheetView topLeftCell="A6" zoomScale="90" zoomScaleNormal="90" workbookViewId="0">
      <selection activeCell="M14" sqref="M14"/>
    </sheetView>
  </sheetViews>
  <sheetFormatPr defaultRowHeight="15" x14ac:dyDescent="0.25"/>
  <cols>
    <col min="1" max="1" width="5.7109375" customWidth="1"/>
    <col min="2" max="2" width="7.7109375" customWidth="1"/>
    <col min="3" max="3" width="14.5703125" bestFit="1" customWidth="1"/>
    <col min="4" max="4" width="36.85546875" customWidth="1"/>
    <col min="5" max="5" width="23.7109375" customWidth="1"/>
    <col min="6" max="6" width="29.140625" customWidth="1"/>
    <col min="7" max="7" width="10.140625" style="21" customWidth="1"/>
    <col min="8" max="8" width="15.42578125" style="22" customWidth="1"/>
    <col min="12" max="12" width="5.5703125" bestFit="1" customWidth="1"/>
    <col min="14" max="14" width="9.85546875" customWidth="1"/>
  </cols>
  <sheetData>
    <row r="1" spans="1:8" ht="23.25" customHeight="1" x14ac:dyDescent="0.25">
      <c r="A1" s="114" t="s">
        <v>160</v>
      </c>
      <c r="B1" s="115"/>
      <c r="C1" s="115"/>
      <c r="D1" s="115"/>
      <c r="E1" s="115"/>
      <c r="F1" s="115"/>
      <c r="G1" s="115"/>
      <c r="H1" s="116"/>
    </row>
    <row r="2" spans="1:8" ht="24.95" customHeight="1" x14ac:dyDescent="0.25">
      <c r="A2" s="117" t="s">
        <v>0</v>
      </c>
      <c r="B2" s="118"/>
      <c r="C2" s="119"/>
      <c r="D2" s="119"/>
      <c r="E2" s="119"/>
      <c r="F2" s="1" t="s">
        <v>1</v>
      </c>
      <c r="G2" s="120"/>
      <c r="H2" s="121"/>
    </row>
    <row r="3" spans="1:8" ht="24.95" customHeight="1" x14ac:dyDescent="0.25">
      <c r="A3" s="122" t="s">
        <v>2</v>
      </c>
      <c r="B3" s="123"/>
      <c r="C3" s="102"/>
      <c r="D3" s="102"/>
      <c r="E3" s="103"/>
      <c r="F3" s="2" t="s">
        <v>3</v>
      </c>
      <c r="G3" s="102"/>
      <c r="H3" s="103"/>
    </row>
    <row r="4" spans="1:8" ht="24.95" customHeight="1" x14ac:dyDescent="0.25">
      <c r="A4" s="100" t="s">
        <v>4</v>
      </c>
      <c r="B4" s="101"/>
      <c r="C4" s="102"/>
      <c r="D4" s="102"/>
      <c r="E4" s="102"/>
      <c r="F4" s="2" t="s">
        <v>5</v>
      </c>
      <c r="G4" s="102"/>
      <c r="H4" s="103"/>
    </row>
    <row r="5" spans="1:8" ht="24.95" customHeight="1" x14ac:dyDescent="0.25">
      <c r="A5" s="104" t="s">
        <v>6</v>
      </c>
      <c r="B5" s="101"/>
      <c r="C5" s="105"/>
      <c r="D5" s="105"/>
      <c r="E5" s="105"/>
      <c r="F5" s="2" t="s">
        <v>7</v>
      </c>
      <c r="G5" s="106"/>
      <c r="H5" s="107"/>
    </row>
    <row r="6" spans="1:8" ht="24.95" customHeight="1" x14ac:dyDescent="0.25">
      <c r="A6" s="3" t="s">
        <v>8</v>
      </c>
      <c r="B6" s="4"/>
      <c r="C6" s="4"/>
      <c r="D6" s="105"/>
      <c r="E6" s="108"/>
      <c r="F6" s="30" t="s">
        <v>9</v>
      </c>
      <c r="G6" s="109"/>
      <c r="H6" s="110"/>
    </row>
    <row r="7" spans="1:8" ht="24.95" customHeight="1" x14ac:dyDescent="0.25">
      <c r="A7" s="104" t="s">
        <v>10</v>
      </c>
      <c r="B7" s="101"/>
      <c r="C7" s="101"/>
      <c r="D7" s="105"/>
      <c r="E7" s="105"/>
      <c r="F7" s="111" t="s">
        <v>11</v>
      </c>
      <c r="G7" s="112"/>
      <c r="H7" s="113"/>
    </row>
    <row r="8" spans="1:8" ht="24.95" customHeight="1" thickBot="1" x14ac:dyDescent="0.3">
      <c r="A8" s="94" t="s">
        <v>12</v>
      </c>
      <c r="B8" s="95"/>
      <c r="C8" s="95"/>
      <c r="D8" s="96"/>
      <c r="E8" s="96"/>
      <c r="F8" s="97"/>
      <c r="G8" s="98"/>
      <c r="H8" s="99"/>
    </row>
    <row r="9" spans="1:8" x14ac:dyDescent="0.25">
      <c r="A9" s="71" t="s">
        <v>13</v>
      </c>
      <c r="B9" s="71" t="s">
        <v>14</v>
      </c>
      <c r="C9" s="92" t="s">
        <v>15</v>
      </c>
      <c r="D9" s="71" t="s">
        <v>16</v>
      </c>
      <c r="E9" s="71" t="s">
        <v>17</v>
      </c>
      <c r="F9" s="71" t="s">
        <v>18</v>
      </c>
      <c r="G9" s="69" t="s">
        <v>19</v>
      </c>
      <c r="H9" s="71" t="s">
        <v>20</v>
      </c>
    </row>
    <row r="10" spans="1:8" ht="15.75" thickBot="1" x14ac:dyDescent="0.3">
      <c r="A10" s="72"/>
      <c r="B10" s="72"/>
      <c r="C10" s="93"/>
      <c r="D10" s="72"/>
      <c r="E10" s="72"/>
      <c r="F10" s="72"/>
      <c r="G10" s="70"/>
      <c r="H10" s="72"/>
    </row>
    <row r="11" spans="1:8" ht="24.95" customHeight="1" x14ac:dyDescent="0.25">
      <c r="A11" s="5">
        <v>1</v>
      </c>
      <c r="B11" s="6"/>
      <c r="C11" s="7"/>
      <c r="D11" s="6"/>
      <c r="E11" s="8"/>
      <c r="F11" s="8"/>
      <c r="G11" s="9"/>
      <c r="H11" s="10">
        <f>G11*B11</f>
        <v>0</v>
      </c>
    </row>
    <row r="12" spans="1:8" ht="24.95" customHeight="1" x14ac:dyDescent="0.25">
      <c r="A12" s="11">
        <f>A11+1</f>
        <v>2</v>
      </c>
      <c r="B12" s="12"/>
      <c r="C12" s="7"/>
      <c r="D12" s="6"/>
      <c r="E12" s="12"/>
      <c r="F12" s="12"/>
      <c r="G12" s="13"/>
      <c r="H12" s="10">
        <f>G12*B12</f>
        <v>0</v>
      </c>
    </row>
    <row r="13" spans="1:8" ht="24.95" customHeight="1" x14ac:dyDescent="0.25">
      <c r="A13" s="11">
        <f t="shared" ref="A13:A35" si="0">A12+1</f>
        <v>3</v>
      </c>
      <c r="B13" s="6"/>
      <c r="C13" s="7"/>
      <c r="D13" s="6"/>
      <c r="E13" s="8"/>
      <c r="F13" s="8"/>
      <c r="G13" s="9"/>
      <c r="H13" s="10">
        <f>G13*B13</f>
        <v>0</v>
      </c>
    </row>
    <row r="14" spans="1:8" ht="24.95" customHeight="1" x14ac:dyDescent="0.25">
      <c r="A14" s="11">
        <f t="shared" si="0"/>
        <v>4</v>
      </c>
      <c r="B14" s="14"/>
      <c r="C14" s="7"/>
      <c r="D14" s="6"/>
      <c r="E14" s="14"/>
      <c r="F14" s="14"/>
      <c r="G14" s="15"/>
      <c r="H14" s="10">
        <f>G14*B14</f>
        <v>0</v>
      </c>
    </row>
    <row r="15" spans="1:8" ht="24.95" customHeight="1" x14ac:dyDescent="0.25">
      <c r="A15" s="11">
        <f t="shared" si="0"/>
        <v>5</v>
      </c>
      <c r="B15" s="14"/>
      <c r="C15" s="7"/>
      <c r="D15" s="6"/>
      <c r="E15" s="14"/>
      <c r="F15" s="14"/>
      <c r="G15" s="15"/>
      <c r="H15" s="10">
        <f t="shared" ref="H15:H35" si="1">G15*B15</f>
        <v>0</v>
      </c>
    </row>
    <row r="16" spans="1:8" ht="24.95" customHeight="1" x14ac:dyDescent="0.25">
      <c r="A16" s="11">
        <f t="shared" si="0"/>
        <v>6</v>
      </c>
      <c r="B16" s="16"/>
      <c r="C16" s="7"/>
      <c r="D16" s="6"/>
      <c r="E16" s="12"/>
      <c r="F16" s="12"/>
      <c r="G16" s="9"/>
      <c r="H16" s="10">
        <f t="shared" si="1"/>
        <v>0</v>
      </c>
    </row>
    <row r="17" spans="1:8" ht="24.95" customHeight="1" x14ac:dyDescent="0.25">
      <c r="A17" s="11">
        <f t="shared" si="0"/>
        <v>7</v>
      </c>
      <c r="B17" s="6"/>
      <c r="C17" s="7"/>
      <c r="D17" s="6"/>
      <c r="E17" s="12"/>
      <c r="F17" s="12"/>
      <c r="G17" s="9"/>
      <c r="H17" s="10">
        <f t="shared" si="1"/>
        <v>0</v>
      </c>
    </row>
    <row r="18" spans="1:8" ht="24.95" customHeight="1" x14ac:dyDescent="0.25">
      <c r="A18" s="11">
        <f t="shared" si="0"/>
        <v>8</v>
      </c>
      <c r="B18" s="6"/>
      <c r="C18" s="7"/>
      <c r="D18" s="6"/>
      <c r="E18" s="12"/>
      <c r="F18" s="12"/>
      <c r="G18" s="9"/>
      <c r="H18" s="10">
        <f t="shared" si="1"/>
        <v>0</v>
      </c>
    </row>
    <row r="19" spans="1:8" ht="24.95" customHeight="1" x14ac:dyDescent="0.25">
      <c r="A19" s="11">
        <f t="shared" si="0"/>
        <v>9</v>
      </c>
      <c r="B19" s="6"/>
      <c r="C19" s="7"/>
      <c r="D19" s="6"/>
      <c r="E19" s="12"/>
      <c r="F19" s="12"/>
      <c r="G19" s="9"/>
      <c r="H19" s="10">
        <f t="shared" si="1"/>
        <v>0</v>
      </c>
    </row>
    <row r="20" spans="1:8" ht="24.95" customHeight="1" x14ac:dyDescent="0.25">
      <c r="A20" s="11">
        <f t="shared" si="0"/>
        <v>10</v>
      </c>
      <c r="B20" s="16"/>
      <c r="C20" s="7"/>
      <c r="D20" s="6"/>
      <c r="E20" s="12"/>
      <c r="F20" s="12"/>
      <c r="G20" s="9"/>
      <c r="H20" s="10">
        <f t="shared" si="1"/>
        <v>0</v>
      </c>
    </row>
    <row r="21" spans="1:8" ht="24.95" customHeight="1" x14ac:dyDescent="0.25">
      <c r="A21" s="11">
        <f t="shared" si="0"/>
        <v>11</v>
      </c>
      <c r="B21" s="6"/>
      <c r="C21" s="29"/>
      <c r="D21" s="6"/>
      <c r="E21" s="12"/>
      <c r="F21" s="12"/>
      <c r="G21" s="9"/>
      <c r="H21" s="10">
        <f t="shared" si="1"/>
        <v>0</v>
      </c>
    </row>
    <row r="22" spans="1:8" ht="24.95" customHeight="1" x14ac:dyDescent="0.25">
      <c r="A22" s="11">
        <f t="shared" si="0"/>
        <v>12</v>
      </c>
      <c r="B22" s="6"/>
      <c r="C22" s="7"/>
      <c r="D22" s="6"/>
      <c r="E22" s="12"/>
      <c r="F22" s="12"/>
      <c r="G22" s="9"/>
      <c r="H22" s="10">
        <f t="shared" si="1"/>
        <v>0</v>
      </c>
    </row>
    <row r="23" spans="1:8" ht="24.95" customHeight="1" x14ac:dyDescent="0.25">
      <c r="A23" s="11">
        <f t="shared" si="0"/>
        <v>13</v>
      </c>
      <c r="B23" s="16"/>
      <c r="C23" s="7"/>
      <c r="D23" s="6"/>
      <c r="E23" s="16"/>
      <c r="F23" s="16"/>
      <c r="G23" s="17"/>
      <c r="H23" s="10">
        <f t="shared" si="1"/>
        <v>0</v>
      </c>
    </row>
    <row r="24" spans="1:8" ht="24.95" customHeight="1" x14ac:dyDescent="0.25">
      <c r="A24" s="11">
        <f t="shared" si="0"/>
        <v>14</v>
      </c>
      <c r="B24" s="16"/>
      <c r="C24" s="7"/>
      <c r="D24" s="6"/>
      <c r="E24" s="16"/>
      <c r="F24" s="16"/>
      <c r="G24" s="17"/>
      <c r="H24" s="10">
        <f t="shared" si="1"/>
        <v>0</v>
      </c>
    </row>
    <row r="25" spans="1:8" ht="24.95" customHeight="1" x14ac:dyDescent="0.25">
      <c r="A25" s="11">
        <f t="shared" si="0"/>
        <v>15</v>
      </c>
      <c r="B25" s="16"/>
      <c r="C25" s="7"/>
      <c r="D25" s="6"/>
      <c r="E25" s="16"/>
      <c r="F25" s="16"/>
      <c r="G25" s="17"/>
      <c r="H25" s="10">
        <f t="shared" si="1"/>
        <v>0</v>
      </c>
    </row>
    <row r="26" spans="1:8" ht="24.95" customHeight="1" x14ac:dyDescent="0.25">
      <c r="A26" s="11">
        <f t="shared" si="0"/>
        <v>16</v>
      </c>
      <c r="B26" s="16"/>
      <c r="C26" s="7"/>
      <c r="D26" s="6"/>
      <c r="E26" s="16"/>
      <c r="F26" s="16"/>
      <c r="G26" s="17"/>
      <c r="H26" s="10">
        <f t="shared" si="1"/>
        <v>0</v>
      </c>
    </row>
    <row r="27" spans="1:8" ht="24.95" customHeight="1" x14ac:dyDescent="0.25">
      <c r="A27" s="11">
        <f t="shared" si="0"/>
        <v>17</v>
      </c>
      <c r="B27" s="6"/>
      <c r="C27" s="7"/>
      <c r="D27" s="6"/>
      <c r="E27" s="12"/>
      <c r="F27" s="12"/>
      <c r="G27" s="9"/>
      <c r="H27" s="10">
        <f t="shared" si="1"/>
        <v>0</v>
      </c>
    </row>
    <row r="28" spans="1:8" ht="24.95" customHeight="1" x14ac:dyDescent="0.25">
      <c r="A28" s="11">
        <f t="shared" si="0"/>
        <v>18</v>
      </c>
      <c r="B28" s="6"/>
      <c r="C28" s="7"/>
      <c r="D28" s="6"/>
      <c r="E28" s="12"/>
      <c r="F28" s="12"/>
      <c r="G28" s="9"/>
      <c r="H28" s="10">
        <f t="shared" si="1"/>
        <v>0</v>
      </c>
    </row>
    <row r="29" spans="1:8" ht="24.95" customHeight="1" x14ac:dyDescent="0.25">
      <c r="A29" s="11">
        <f t="shared" si="0"/>
        <v>19</v>
      </c>
      <c r="B29" s="6"/>
      <c r="C29" s="7"/>
      <c r="D29" s="6"/>
      <c r="E29" s="12"/>
      <c r="F29" s="12"/>
      <c r="G29" s="9"/>
      <c r="H29" s="10">
        <f t="shared" si="1"/>
        <v>0</v>
      </c>
    </row>
    <row r="30" spans="1:8" ht="24.95" customHeight="1" x14ac:dyDescent="0.25">
      <c r="A30" s="11">
        <f t="shared" si="0"/>
        <v>20</v>
      </c>
      <c r="B30" s="6"/>
      <c r="C30" s="7"/>
      <c r="D30" s="6"/>
      <c r="E30" s="12"/>
      <c r="F30" s="12"/>
      <c r="G30" s="9"/>
      <c r="H30" s="10">
        <f t="shared" si="1"/>
        <v>0</v>
      </c>
    </row>
    <row r="31" spans="1:8" ht="24.95" customHeight="1" x14ac:dyDescent="0.25">
      <c r="A31" s="11">
        <f t="shared" si="0"/>
        <v>21</v>
      </c>
      <c r="B31" s="6"/>
      <c r="C31" s="7"/>
      <c r="D31" s="6"/>
      <c r="E31" s="12"/>
      <c r="F31" s="12"/>
      <c r="G31" s="9"/>
      <c r="H31" s="10">
        <f t="shared" si="1"/>
        <v>0</v>
      </c>
    </row>
    <row r="32" spans="1:8" ht="24.95" customHeight="1" x14ac:dyDescent="0.25">
      <c r="A32" s="11">
        <f t="shared" si="0"/>
        <v>22</v>
      </c>
      <c r="B32" s="6"/>
      <c r="C32" s="7"/>
      <c r="D32" s="6"/>
      <c r="E32" s="12"/>
      <c r="F32" s="12"/>
      <c r="G32" s="9"/>
      <c r="H32" s="10">
        <f t="shared" si="1"/>
        <v>0</v>
      </c>
    </row>
    <row r="33" spans="1:8" ht="24.95" customHeight="1" x14ac:dyDescent="0.25">
      <c r="A33" s="11">
        <f t="shared" si="0"/>
        <v>23</v>
      </c>
      <c r="B33" s="6"/>
      <c r="C33" s="7"/>
      <c r="D33" s="6"/>
      <c r="E33" s="12"/>
      <c r="F33" s="12"/>
      <c r="G33" s="9"/>
      <c r="H33" s="10">
        <f t="shared" si="1"/>
        <v>0</v>
      </c>
    </row>
    <row r="34" spans="1:8" ht="24.95" customHeight="1" x14ac:dyDescent="0.25">
      <c r="A34" s="11">
        <f t="shared" si="0"/>
        <v>24</v>
      </c>
      <c r="B34" s="6"/>
      <c r="C34" s="7"/>
      <c r="D34" s="6"/>
      <c r="E34" s="12"/>
      <c r="F34" s="12"/>
      <c r="G34" s="9"/>
      <c r="H34" s="10">
        <f t="shared" si="1"/>
        <v>0</v>
      </c>
    </row>
    <row r="35" spans="1:8" ht="24.95" customHeight="1" thickBot="1" x14ac:dyDescent="0.3">
      <c r="A35" s="18">
        <f t="shared" si="0"/>
        <v>25</v>
      </c>
      <c r="B35" s="8"/>
      <c r="C35" s="7"/>
      <c r="D35" s="6"/>
      <c r="E35" s="19"/>
      <c r="F35" s="19"/>
      <c r="G35" s="9"/>
      <c r="H35" s="10">
        <f t="shared" si="1"/>
        <v>0</v>
      </c>
    </row>
    <row r="36" spans="1:8" ht="18" thickBot="1" x14ac:dyDescent="0.3">
      <c r="A36" s="73" t="s">
        <v>21</v>
      </c>
      <c r="B36" s="74"/>
      <c r="C36" s="74"/>
      <c r="D36" s="75"/>
      <c r="E36" s="76" t="s">
        <v>22</v>
      </c>
      <c r="F36" s="77"/>
      <c r="G36" s="76" t="s">
        <v>23</v>
      </c>
      <c r="H36" s="77"/>
    </row>
    <row r="37" spans="1:8" ht="15" customHeight="1" x14ac:dyDescent="0.25">
      <c r="A37" s="78"/>
      <c r="B37" s="79"/>
      <c r="C37" s="79"/>
      <c r="D37" s="80"/>
      <c r="E37" s="84" t="s">
        <v>24</v>
      </c>
      <c r="F37" s="85"/>
      <c r="G37" s="86">
        <f>SUM(H11:H35)</f>
        <v>0</v>
      </c>
      <c r="H37" s="87"/>
    </row>
    <row r="38" spans="1:8" ht="15.75" customHeight="1" thickBot="1" x14ac:dyDescent="0.3">
      <c r="A38" s="81"/>
      <c r="B38" s="82"/>
      <c r="C38" s="82"/>
      <c r="D38" s="83"/>
      <c r="E38" s="90" t="s">
        <v>25</v>
      </c>
      <c r="F38" s="91"/>
      <c r="G38" s="88"/>
      <c r="H38" s="89"/>
    </row>
    <row r="39" spans="1:8" ht="15" customHeight="1" x14ac:dyDescent="0.25">
      <c r="A39" s="60" t="s">
        <v>26</v>
      </c>
      <c r="B39" s="61"/>
      <c r="C39" s="61"/>
      <c r="D39" s="61"/>
      <c r="E39" s="61"/>
      <c r="F39" s="61"/>
      <c r="G39" s="61"/>
      <c r="H39" s="62"/>
    </row>
    <row r="40" spans="1:8" x14ac:dyDescent="0.25">
      <c r="A40" s="63"/>
      <c r="B40" s="64"/>
      <c r="C40" s="64"/>
      <c r="D40" s="64"/>
      <c r="E40" s="64"/>
      <c r="F40" s="64"/>
      <c r="G40" s="64"/>
      <c r="H40" s="65"/>
    </row>
    <row r="41" spans="1:8" ht="15.75" thickBot="1" x14ac:dyDescent="0.3">
      <c r="A41" s="66"/>
      <c r="B41" s="67"/>
      <c r="C41" s="67"/>
      <c r="D41" s="67"/>
      <c r="E41" s="67"/>
      <c r="F41" s="67"/>
      <c r="G41" s="67"/>
      <c r="H41" s="68"/>
    </row>
    <row r="47" spans="1:8" x14ac:dyDescent="0.25">
      <c r="C47" s="20"/>
    </row>
    <row r="48" spans="1:8" x14ac:dyDescent="0.25">
      <c r="C48" s="20"/>
    </row>
    <row r="49" spans="3:3" x14ac:dyDescent="0.25">
      <c r="C49" s="20"/>
    </row>
    <row r="50" spans="3:3" x14ac:dyDescent="0.25">
      <c r="C50" s="20"/>
    </row>
    <row r="51" spans="3:3" x14ac:dyDescent="0.25">
      <c r="C51" s="20"/>
    </row>
    <row r="52" spans="3:3" x14ac:dyDescent="0.25">
      <c r="C52" s="20"/>
    </row>
    <row r="53" spans="3:3" x14ac:dyDescent="0.25">
      <c r="C53" s="20"/>
    </row>
    <row r="54" spans="3:3" x14ac:dyDescent="0.25">
      <c r="C54" s="20"/>
    </row>
    <row r="55" spans="3:3" x14ac:dyDescent="0.25">
      <c r="C55" s="20"/>
    </row>
    <row r="56" spans="3:3" x14ac:dyDescent="0.25">
      <c r="C56" s="20"/>
    </row>
    <row r="57" spans="3:3" x14ac:dyDescent="0.25">
      <c r="C57" s="20"/>
    </row>
    <row r="58" spans="3:3" x14ac:dyDescent="0.25">
      <c r="C58" s="20"/>
    </row>
    <row r="59" spans="3:3" x14ac:dyDescent="0.25">
      <c r="C59" s="20"/>
    </row>
    <row r="60" spans="3:3" x14ac:dyDescent="0.25">
      <c r="C60" s="20"/>
    </row>
    <row r="61" spans="3:3" x14ac:dyDescent="0.25">
      <c r="C61" s="20"/>
    </row>
    <row r="62" spans="3:3" x14ac:dyDescent="0.25">
      <c r="C62" s="20"/>
    </row>
    <row r="63" spans="3:3" x14ac:dyDescent="0.25">
      <c r="C63" s="20"/>
    </row>
    <row r="64" spans="3:3" x14ac:dyDescent="0.25">
      <c r="C64" s="20"/>
    </row>
    <row r="65" spans="3:3" x14ac:dyDescent="0.25">
      <c r="C65" s="20"/>
    </row>
    <row r="66" spans="3:3" x14ac:dyDescent="0.25">
      <c r="C66" s="20"/>
    </row>
    <row r="67" spans="3:3" x14ac:dyDescent="0.25">
      <c r="C67" s="20"/>
    </row>
    <row r="68" spans="3:3" x14ac:dyDescent="0.25">
      <c r="C68" s="20"/>
    </row>
  </sheetData>
  <customSheetViews>
    <customSheetView guid="{85BC35B6-26B9-4872-96A0-51D7DF728029}" scale="90" showPageBreaks="1" fitToPage="1" state="hidden" topLeftCell="A6">
      <selection activeCell="M14" sqref="M14"/>
      <pageMargins left="0.511811024" right="0.511811024" top="0.78740157499999996" bottom="0.78740157499999996" header="0.31496062000000002" footer="0.31496062000000002"/>
      <pageSetup paperSize="9" scale="64" orientation="portrait" horizontalDpi="300" verticalDpi="300" r:id="rId1"/>
    </customSheetView>
  </customSheetViews>
  <mergeCells count="37">
    <mergeCell ref="A1:H1"/>
    <mergeCell ref="A2:B2"/>
    <mergeCell ref="C2:E2"/>
    <mergeCell ref="G2:H2"/>
    <mergeCell ref="A3:B3"/>
    <mergeCell ref="C3:E3"/>
    <mergeCell ref="G3:H3"/>
    <mergeCell ref="A8:C8"/>
    <mergeCell ref="D8:E8"/>
    <mergeCell ref="F8:H8"/>
    <mergeCell ref="A4:B4"/>
    <mergeCell ref="C4:E4"/>
    <mergeCell ref="G4:H4"/>
    <mergeCell ref="A5:B5"/>
    <mergeCell ref="C5:E5"/>
    <mergeCell ref="G5:H5"/>
    <mergeCell ref="D6:E6"/>
    <mergeCell ref="G6:H6"/>
    <mergeCell ref="A7:C7"/>
    <mergeCell ref="D7:E7"/>
    <mergeCell ref="F7:H7"/>
    <mergeCell ref="A39:H41"/>
    <mergeCell ref="G9:G10"/>
    <mergeCell ref="H9:H10"/>
    <mergeCell ref="A36:D36"/>
    <mergeCell ref="E36:F36"/>
    <mergeCell ref="G36:H36"/>
    <mergeCell ref="A37:D38"/>
    <mergeCell ref="E37:F37"/>
    <mergeCell ref="G37:H38"/>
    <mergeCell ref="E38:F38"/>
    <mergeCell ref="A9:A10"/>
    <mergeCell ref="B9:B10"/>
    <mergeCell ref="C9:C10"/>
    <mergeCell ref="D9:D10"/>
    <mergeCell ref="E9:E10"/>
    <mergeCell ref="F9:F10"/>
  </mergeCells>
  <conditionalFormatting sqref="A8">
    <cfRule type="cellIs" dxfId="1" priority="1" operator="equal">
      <formula>0</formula>
    </cfRule>
  </conditionalFormatting>
  <dataValidations count="1">
    <dataValidation type="list" allowBlank="1" showInputMessage="1" showErrorMessage="1" sqref="K12:K13" xr:uid="{00156FFE-D24C-4ECB-9CA4-D11A07D17DCE}">
      <formula1>$K$11:$K$13</formula1>
    </dataValidation>
  </dataValidations>
  <pageMargins left="0.511811024" right="0.511811024" top="0.78740157499999996" bottom="0.78740157499999996" header="0.31496062000000002" footer="0.31496062000000002"/>
  <pageSetup paperSize="9" scale="64" orientation="portrait" horizontalDpi="300" verticalDpi="3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172E922A-684C-40C3-BC2A-12E54519697A}">
          <x14:formula1>
            <xm:f>Cadastro!#REF!</xm:f>
          </x14:formula1>
          <xm:sqref>D19:D30 D32:D35</xm:sqref>
        </x14:dataValidation>
        <x14:dataValidation type="list" errorStyle="warning" allowBlank="1" showInputMessage="1" errorTitle="Não alterar nomes" xr:uid="{E33289CA-9AFE-4995-B1C7-04B38C303677}">
          <x14:formula1>
            <xm:f>Cadastro!#REF!</xm:f>
          </x14:formula1>
          <xm:sqref>D31</xm:sqref>
        </x14:dataValidation>
        <x14:dataValidation type="list" allowBlank="1" showInputMessage="1" xr:uid="{138F9D79-624E-46C2-BD4C-FA1A4A463F25}">
          <x14:formula1>
            <xm:f>_xlfn.ANCHORARRAY(Cadastro!#REF!)</xm:f>
          </x14:formula1>
          <xm:sqref>D11:D18</xm:sqref>
        </x14:dataValidation>
        <x14:dataValidation type="list" allowBlank="1" showInputMessage="1" showErrorMessage="1" xr:uid="{F8AC2158-668A-48D4-876D-060AD018F41E}">
          <x14:formula1>
            <xm:f>Cadastro!$A$2:$A$28</xm:f>
          </x14:formula1>
          <xm:sqref>C11:C35</xm:sqref>
        </x14:dataValidation>
        <x14:dataValidation type="list" allowBlank="1" showInputMessage="1" showErrorMessage="1" xr:uid="{DECB7E26-D720-472F-93E8-5A6FCA29ED97}">
          <x14:formula1>
            <xm:f>Cadastro!$E$11:$E$42</xm:f>
          </x14:formula1>
          <xm:sqref>F8:H8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BE2E-B64D-4967-AA5A-2757C141CD51}">
  <sheetPr codeName="Planilha2">
    <pageSetUpPr fitToPage="1"/>
  </sheetPr>
  <dimension ref="A1:H75"/>
  <sheetViews>
    <sheetView showGridLines="0" tabSelected="1" view="pageBreakPreview" zoomScaleNormal="90" zoomScaleSheetLayoutView="100" workbookViewId="0">
      <selection activeCell="G39" sqref="G39"/>
    </sheetView>
  </sheetViews>
  <sheetFormatPr defaultRowHeight="15" x14ac:dyDescent="0.25"/>
  <cols>
    <col min="1" max="1" width="5" customWidth="1"/>
    <col min="2" max="2" width="7.28515625" customWidth="1"/>
    <col min="3" max="3" width="14.140625" customWidth="1"/>
    <col min="4" max="4" width="37.85546875" customWidth="1"/>
    <col min="5" max="5" width="23.7109375" customWidth="1"/>
    <col min="6" max="6" width="29.140625" customWidth="1"/>
    <col min="7" max="7" width="13.42578125" style="21" bestFit="1" customWidth="1"/>
    <col min="8" max="8" width="14.85546875" style="22" customWidth="1"/>
    <col min="12" max="12" width="5.5703125" bestFit="1" customWidth="1"/>
    <col min="14" max="14" width="9.85546875" customWidth="1"/>
  </cols>
  <sheetData>
    <row r="1" spans="1:8" ht="21" customHeight="1" thickBot="1" x14ac:dyDescent="0.3">
      <c r="A1" s="114"/>
      <c r="B1" s="115"/>
      <c r="C1" s="115"/>
      <c r="D1" s="115"/>
      <c r="E1" s="115"/>
      <c r="F1" s="115"/>
      <c r="G1" s="115"/>
      <c r="H1" s="116"/>
    </row>
    <row r="2" spans="1:8" ht="24.95" customHeight="1" thickBot="1" x14ac:dyDescent="0.3">
      <c r="A2" s="138" t="s">
        <v>0</v>
      </c>
      <c r="B2" s="139"/>
      <c r="C2" s="140"/>
      <c r="D2" s="140"/>
      <c r="E2" s="141"/>
      <c r="F2" s="31" t="s">
        <v>1</v>
      </c>
      <c r="G2" s="142"/>
      <c r="H2" s="143"/>
    </row>
    <row r="3" spans="1:8" ht="24" customHeight="1" x14ac:dyDescent="0.25">
      <c r="A3" s="146" t="s">
        <v>2</v>
      </c>
      <c r="B3" s="147"/>
      <c r="C3" s="147"/>
      <c r="D3" s="150"/>
      <c r="E3" s="151"/>
      <c r="F3" s="32" t="s">
        <v>3</v>
      </c>
      <c r="G3" s="144"/>
      <c r="H3" s="145"/>
    </row>
    <row r="4" spans="1:8" ht="24" customHeight="1" x14ac:dyDescent="0.25">
      <c r="A4" s="170" t="s">
        <v>4</v>
      </c>
      <c r="B4" s="131"/>
      <c r="C4" s="131"/>
      <c r="D4" s="152"/>
      <c r="E4" s="153"/>
      <c r="F4" s="33" t="s">
        <v>5</v>
      </c>
      <c r="G4" s="171"/>
      <c r="H4" s="172"/>
    </row>
    <row r="5" spans="1:8" ht="24" customHeight="1" x14ac:dyDescent="0.25">
      <c r="A5" s="130" t="s">
        <v>6</v>
      </c>
      <c r="B5" s="131"/>
      <c r="C5" s="131"/>
      <c r="D5" s="132"/>
      <c r="E5" s="133"/>
      <c r="F5" s="33" t="s">
        <v>7</v>
      </c>
      <c r="G5" s="173"/>
      <c r="H5" s="174"/>
    </row>
    <row r="6" spans="1:8" ht="24" customHeight="1" x14ac:dyDescent="0.25">
      <c r="A6" s="130" t="s">
        <v>8</v>
      </c>
      <c r="B6" s="131"/>
      <c r="C6" s="131"/>
      <c r="D6" s="132"/>
      <c r="E6" s="133"/>
      <c r="F6" s="34" t="s">
        <v>9</v>
      </c>
      <c r="G6" s="128"/>
      <c r="H6" s="129"/>
    </row>
    <row r="7" spans="1:8" ht="24" customHeight="1" x14ac:dyDescent="0.25">
      <c r="A7" s="130" t="s">
        <v>10</v>
      </c>
      <c r="B7" s="131"/>
      <c r="C7" s="131"/>
      <c r="D7" s="132"/>
      <c r="E7" s="133"/>
      <c r="F7" s="167" t="s">
        <v>11</v>
      </c>
      <c r="G7" s="168"/>
      <c r="H7" s="169"/>
    </row>
    <row r="8" spans="1:8" ht="24" customHeight="1" thickBot="1" x14ac:dyDescent="0.3">
      <c r="A8" s="154" t="s">
        <v>12</v>
      </c>
      <c r="B8" s="155"/>
      <c r="C8" s="155"/>
      <c r="D8" s="156"/>
      <c r="E8" s="157"/>
      <c r="F8" s="164"/>
      <c r="G8" s="165"/>
      <c r="H8" s="166"/>
    </row>
    <row r="9" spans="1:8" x14ac:dyDescent="0.25">
      <c r="A9" s="71" t="s">
        <v>13</v>
      </c>
      <c r="B9" s="71" t="s">
        <v>14</v>
      </c>
      <c r="C9" s="92" t="s">
        <v>15</v>
      </c>
      <c r="D9" s="92" t="s">
        <v>16</v>
      </c>
      <c r="E9" s="92" t="s">
        <v>17</v>
      </c>
      <c r="F9" s="92" t="s">
        <v>18</v>
      </c>
      <c r="G9" s="134" t="s">
        <v>19</v>
      </c>
      <c r="H9" s="71" t="s">
        <v>20</v>
      </c>
    </row>
    <row r="10" spans="1:8" ht="15.75" thickBot="1" x14ac:dyDescent="0.3">
      <c r="A10" s="72"/>
      <c r="B10" s="72"/>
      <c r="C10" s="93"/>
      <c r="D10" s="93"/>
      <c r="E10" s="93"/>
      <c r="F10" s="93"/>
      <c r="G10" s="135"/>
      <c r="H10" s="72"/>
    </row>
    <row r="11" spans="1:8" ht="24" customHeight="1" x14ac:dyDescent="0.25">
      <c r="A11" s="50">
        <v>1</v>
      </c>
      <c r="B11" s="52"/>
      <c r="C11" s="38"/>
      <c r="D11" s="35"/>
      <c r="E11" s="36"/>
      <c r="F11" s="36"/>
      <c r="G11" s="37"/>
      <c r="H11" s="48">
        <f>G11*B11</f>
        <v>0</v>
      </c>
    </row>
    <row r="12" spans="1:8" ht="24" customHeight="1" x14ac:dyDescent="0.25">
      <c r="A12" s="51">
        <f>A11+1</f>
        <v>2</v>
      </c>
      <c r="B12" s="53"/>
      <c r="C12" s="38"/>
      <c r="D12" s="35"/>
      <c r="E12" s="39"/>
      <c r="F12" s="39"/>
      <c r="G12" s="40"/>
      <c r="H12" s="48">
        <f>G12*B12</f>
        <v>0</v>
      </c>
    </row>
    <row r="13" spans="1:8" ht="24" customHeight="1" x14ac:dyDescent="0.25">
      <c r="A13" s="51">
        <f t="shared" ref="A13:A40" si="0">A12+1</f>
        <v>3</v>
      </c>
      <c r="B13" s="54"/>
      <c r="C13" s="38"/>
      <c r="D13" s="35"/>
      <c r="E13" s="41"/>
      <c r="F13" s="41"/>
      <c r="G13" s="42"/>
      <c r="H13" s="49">
        <f t="shared" ref="H13:H40" si="1">G13*B13</f>
        <v>0</v>
      </c>
    </row>
    <row r="14" spans="1:8" ht="24" customHeight="1" x14ac:dyDescent="0.25">
      <c r="A14" s="51">
        <f t="shared" si="0"/>
        <v>4</v>
      </c>
      <c r="B14" s="55"/>
      <c r="C14" s="38"/>
      <c r="D14" s="35"/>
      <c r="E14" s="43"/>
      <c r="F14" s="43"/>
      <c r="G14" s="44"/>
      <c r="H14" s="49">
        <f t="shared" si="1"/>
        <v>0</v>
      </c>
    </row>
    <row r="15" spans="1:8" ht="24" customHeight="1" x14ac:dyDescent="0.25">
      <c r="A15" s="51">
        <f t="shared" si="0"/>
        <v>5</v>
      </c>
      <c r="B15" s="55"/>
      <c r="C15" s="38"/>
      <c r="D15" s="35"/>
      <c r="E15" s="43"/>
      <c r="F15" s="43"/>
      <c r="G15" s="44"/>
      <c r="H15" s="49">
        <f t="shared" si="1"/>
        <v>0</v>
      </c>
    </row>
    <row r="16" spans="1:8" ht="24" customHeight="1" x14ac:dyDescent="0.25">
      <c r="A16" s="51">
        <f t="shared" si="0"/>
        <v>6</v>
      </c>
      <c r="B16" s="56"/>
      <c r="C16" s="38"/>
      <c r="D16" s="35"/>
      <c r="E16" s="39"/>
      <c r="F16" s="39"/>
      <c r="G16" s="42"/>
      <c r="H16" s="49">
        <f t="shared" si="1"/>
        <v>0</v>
      </c>
    </row>
    <row r="17" spans="1:8" ht="24" customHeight="1" x14ac:dyDescent="0.25">
      <c r="A17" s="51">
        <f t="shared" si="0"/>
        <v>7</v>
      </c>
      <c r="B17" s="54"/>
      <c r="C17" s="38"/>
      <c r="D17" s="35"/>
      <c r="E17" s="39"/>
      <c r="F17" s="39"/>
      <c r="G17" s="42"/>
      <c r="H17" s="49">
        <f t="shared" si="1"/>
        <v>0</v>
      </c>
    </row>
    <row r="18" spans="1:8" ht="24" customHeight="1" x14ac:dyDescent="0.25">
      <c r="A18" s="51">
        <f t="shared" si="0"/>
        <v>8</v>
      </c>
      <c r="B18" s="54"/>
      <c r="C18" s="38"/>
      <c r="D18" s="35"/>
      <c r="E18" s="39"/>
      <c r="F18" s="39"/>
      <c r="G18" s="42"/>
      <c r="H18" s="49">
        <f t="shared" si="1"/>
        <v>0</v>
      </c>
    </row>
    <row r="19" spans="1:8" ht="24" customHeight="1" x14ac:dyDescent="0.25">
      <c r="A19" s="51">
        <f t="shared" si="0"/>
        <v>9</v>
      </c>
      <c r="B19" s="54"/>
      <c r="C19" s="38"/>
      <c r="D19" s="35"/>
      <c r="E19" s="39"/>
      <c r="F19" s="39"/>
      <c r="G19" s="42"/>
      <c r="H19" s="49">
        <f t="shared" si="1"/>
        <v>0</v>
      </c>
    </row>
    <row r="20" spans="1:8" ht="24" customHeight="1" x14ac:dyDescent="0.25">
      <c r="A20" s="51">
        <f t="shared" si="0"/>
        <v>10</v>
      </c>
      <c r="B20" s="56"/>
      <c r="C20" s="38"/>
      <c r="D20" s="35"/>
      <c r="E20" s="39"/>
      <c r="F20" s="39"/>
      <c r="G20" s="42"/>
      <c r="H20" s="49">
        <f t="shared" si="1"/>
        <v>0</v>
      </c>
    </row>
    <row r="21" spans="1:8" ht="24" customHeight="1" x14ac:dyDescent="0.25">
      <c r="A21" s="51">
        <f t="shared" si="0"/>
        <v>11</v>
      </c>
      <c r="B21" s="54"/>
      <c r="C21" s="45"/>
      <c r="D21" s="35"/>
      <c r="E21" s="39"/>
      <c r="F21" s="39"/>
      <c r="G21" s="42"/>
      <c r="H21" s="49">
        <f t="shared" si="1"/>
        <v>0</v>
      </c>
    </row>
    <row r="22" spans="1:8" ht="24" customHeight="1" x14ac:dyDescent="0.25">
      <c r="A22" s="51">
        <f t="shared" si="0"/>
        <v>12</v>
      </c>
      <c r="B22" s="54"/>
      <c r="C22" s="38"/>
      <c r="D22" s="35"/>
      <c r="E22" s="39"/>
      <c r="F22" s="39"/>
      <c r="G22" s="42"/>
      <c r="H22" s="49">
        <f t="shared" si="1"/>
        <v>0</v>
      </c>
    </row>
    <row r="23" spans="1:8" ht="24" customHeight="1" x14ac:dyDescent="0.25">
      <c r="A23" s="51">
        <f t="shared" si="0"/>
        <v>13</v>
      </c>
      <c r="B23" s="56"/>
      <c r="C23" s="38"/>
      <c r="D23" s="35"/>
      <c r="E23" s="39"/>
      <c r="F23" s="39"/>
      <c r="G23" s="46"/>
      <c r="H23" s="49">
        <f t="shared" si="1"/>
        <v>0</v>
      </c>
    </row>
    <row r="24" spans="1:8" ht="24" customHeight="1" x14ac:dyDescent="0.25">
      <c r="A24" s="51">
        <f t="shared" si="0"/>
        <v>14</v>
      </c>
      <c r="B24" s="56"/>
      <c r="C24" s="38"/>
      <c r="D24" s="35"/>
      <c r="E24" s="39"/>
      <c r="F24" s="39"/>
      <c r="G24" s="46"/>
      <c r="H24" s="49">
        <f t="shared" si="1"/>
        <v>0</v>
      </c>
    </row>
    <row r="25" spans="1:8" ht="24" customHeight="1" x14ac:dyDescent="0.25">
      <c r="A25" s="51">
        <f t="shared" si="0"/>
        <v>15</v>
      </c>
      <c r="B25" s="56"/>
      <c r="C25" s="38"/>
      <c r="D25" s="35"/>
      <c r="E25" s="39"/>
      <c r="F25" s="39"/>
      <c r="G25" s="46"/>
      <c r="H25" s="49">
        <f t="shared" si="1"/>
        <v>0</v>
      </c>
    </row>
    <row r="26" spans="1:8" ht="24" customHeight="1" x14ac:dyDescent="0.25">
      <c r="A26" s="51">
        <f t="shared" si="0"/>
        <v>16</v>
      </c>
      <c r="B26" s="56"/>
      <c r="C26" s="38"/>
      <c r="D26" s="35"/>
      <c r="E26" s="39"/>
      <c r="F26" s="39"/>
      <c r="G26" s="46"/>
      <c r="H26" s="49">
        <f t="shared" si="1"/>
        <v>0</v>
      </c>
    </row>
    <row r="27" spans="1:8" ht="24" customHeight="1" x14ac:dyDescent="0.25">
      <c r="A27" s="51">
        <f t="shared" si="0"/>
        <v>17</v>
      </c>
      <c r="B27" s="54"/>
      <c r="C27" s="38"/>
      <c r="D27" s="35"/>
      <c r="E27" s="39"/>
      <c r="F27" s="39"/>
      <c r="G27" s="42"/>
      <c r="H27" s="49">
        <f t="shared" si="1"/>
        <v>0</v>
      </c>
    </row>
    <row r="28" spans="1:8" ht="24" customHeight="1" x14ac:dyDescent="0.25">
      <c r="A28" s="51">
        <f t="shared" si="0"/>
        <v>18</v>
      </c>
      <c r="B28" s="54"/>
      <c r="C28" s="38"/>
      <c r="D28" s="35"/>
      <c r="E28" s="39"/>
      <c r="F28" s="39"/>
      <c r="G28" s="42"/>
      <c r="H28" s="49">
        <f t="shared" si="1"/>
        <v>0</v>
      </c>
    </row>
    <row r="29" spans="1:8" ht="24" customHeight="1" x14ac:dyDescent="0.25">
      <c r="A29" s="51">
        <f t="shared" si="0"/>
        <v>19</v>
      </c>
      <c r="B29" s="54"/>
      <c r="C29" s="38"/>
      <c r="D29" s="35"/>
      <c r="E29" s="39"/>
      <c r="F29" s="39"/>
      <c r="G29" s="42"/>
      <c r="H29" s="49">
        <f t="shared" si="1"/>
        <v>0</v>
      </c>
    </row>
    <row r="30" spans="1:8" ht="24" customHeight="1" x14ac:dyDescent="0.25">
      <c r="A30" s="51">
        <f t="shared" si="0"/>
        <v>20</v>
      </c>
      <c r="B30" s="54"/>
      <c r="C30" s="38"/>
      <c r="D30" s="35"/>
      <c r="E30" s="39"/>
      <c r="F30" s="39"/>
      <c r="G30" s="42"/>
      <c r="H30" s="49">
        <f t="shared" si="1"/>
        <v>0</v>
      </c>
    </row>
    <row r="31" spans="1:8" ht="24" customHeight="1" x14ac:dyDescent="0.25">
      <c r="A31" s="51">
        <f t="shared" si="0"/>
        <v>21</v>
      </c>
      <c r="B31" s="54"/>
      <c r="C31" s="38"/>
      <c r="D31" s="35"/>
      <c r="E31" s="39"/>
      <c r="F31" s="39"/>
      <c r="G31" s="42"/>
      <c r="H31" s="49">
        <f t="shared" si="1"/>
        <v>0</v>
      </c>
    </row>
    <row r="32" spans="1:8" ht="24" customHeight="1" x14ac:dyDescent="0.25">
      <c r="A32" s="51">
        <f t="shared" si="0"/>
        <v>22</v>
      </c>
      <c r="B32" s="54"/>
      <c r="C32" s="38"/>
      <c r="D32" s="35"/>
      <c r="E32" s="39"/>
      <c r="F32" s="39"/>
      <c r="G32" s="42"/>
      <c r="H32" s="49">
        <f t="shared" si="1"/>
        <v>0</v>
      </c>
    </row>
    <row r="33" spans="1:8" ht="24" customHeight="1" x14ac:dyDescent="0.25">
      <c r="A33" s="51">
        <f t="shared" si="0"/>
        <v>23</v>
      </c>
      <c r="B33" s="54"/>
      <c r="C33" s="38"/>
      <c r="D33" s="35"/>
      <c r="E33" s="39"/>
      <c r="F33" s="39"/>
      <c r="G33" s="42"/>
      <c r="H33" s="49">
        <f t="shared" si="1"/>
        <v>0</v>
      </c>
    </row>
    <row r="34" spans="1:8" ht="24" customHeight="1" x14ac:dyDescent="0.25">
      <c r="A34" s="51">
        <f t="shared" si="0"/>
        <v>24</v>
      </c>
      <c r="B34" s="54"/>
      <c r="C34" s="38"/>
      <c r="D34" s="35"/>
      <c r="E34" s="39"/>
      <c r="F34" s="39"/>
      <c r="G34" s="42"/>
      <c r="H34" s="49">
        <f t="shared" si="1"/>
        <v>0</v>
      </c>
    </row>
    <row r="35" spans="1:8" ht="24" customHeight="1" x14ac:dyDescent="0.25">
      <c r="A35" s="51">
        <f t="shared" si="0"/>
        <v>25</v>
      </c>
      <c r="B35" s="53"/>
      <c r="C35" s="38"/>
      <c r="D35" s="35"/>
      <c r="E35" s="47"/>
      <c r="F35" s="47"/>
      <c r="G35" s="42"/>
      <c r="H35" s="49">
        <f t="shared" si="1"/>
        <v>0</v>
      </c>
    </row>
    <row r="36" spans="1:8" ht="24" customHeight="1" x14ac:dyDescent="0.25">
      <c r="A36" s="51">
        <f t="shared" si="0"/>
        <v>26</v>
      </c>
      <c r="B36" s="53"/>
      <c r="C36" s="38"/>
      <c r="D36" s="35"/>
      <c r="E36" s="47"/>
      <c r="F36" s="47"/>
      <c r="G36" s="42"/>
      <c r="H36" s="49">
        <f t="shared" si="1"/>
        <v>0</v>
      </c>
    </row>
    <row r="37" spans="1:8" ht="24" customHeight="1" x14ac:dyDescent="0.25">
      <c r="A37" s="51">
        <f t="shared" si="0"/>
        <v>27</v>
      </c>
      <c r="B37" s="53"/>
      <c r="C37" s="38"/>
      <c r="D37" s="35"/>
      <c r="E37" s="47"/>
      <c r="F37" s="47"/>
      <c r="G37" s="42"/>
      <c r="H37" s="49">
        <f t="shared" si="1"/>
        <v>0</v>
      </c>
    </row>
    <row r="38" spans="1:8" ht="24" customHeight="1" x14ac:dyDescent="0.25">
      <c r="A38" s="51">
        <f t="shared" si="0"/>
        <v>28</v>
      </c>
      <c r="B38" s="53"/>
      <c r="C38" s="38"/>
      <c r="D38" s="35"/>
      <c r="E38" s="47"/>
      <c r="F38" s="47"/>
      <c r="G38" s="42"/>
      <c r="H38" s="49">
        <f t="shared" si="1"/>
        <v>0</v>
      </c>
    </row>
    <row r="39" spans="1:8" ht="24" customHeight="1" x14ac:dyDescent="0.25">
      <c r="A39" s="51">
        <f t="shared" si="0"/>
        <v>29</v>
      </c>
      <c r="B39" s="53"/>
      <c r="C39" s="38"/>
      <c r="D39" s="35"/>
      <c r="E39" s="47"/>
      <c r="F39" s="47"/>
      <c r="G39" s="42"/>
      <c r="H39" s="49">
        <f t="shared" si="1"/>
        <v>0</v>
      </c>
    </row>
    <row r="40" spans="1:8" ht="24" customHeight="1" x14ac:dyDescent="0.25">
      <c r="A40" s="51">
        <f t="shared" si="0"/>
        <v>30</v>
      </c>
      <c r="B40" s="53"/>
      <c r="C40" s="38"/>
      <c r="D40" s="35"/>
      <c r="E40" s="47"/>
      <c r="F40" s="47"/>
      <c r="G40" s="42"/>
      <c r="H40" s="49">
        <f t="shared" si="1"/>
        <v>0</v>
      </c>
    </row>
    <row r="41" spans="1:8" ht="24" customHeight="1" x14ac:dyDescent="0.25">
      <c r="A41" s="158" t="s">
        <v>226</v>
      </c>
      <c r="B41" s="159"/>
      <c r="C41" s="159"/>
      <c r="D41" s="159"/>
      <c r="E41" s="159"/>
      <c r="F41" s="159"/>
      <c r="G41" s="160"/>
      <c r="H41" s="59">
        <v>0</v>
      </c>
    </row>
    <row r="42" spans="1:8" ht="24" customHeight="1" thickBot="1" x14ac:dyDescent="0.3">
      <c r="A42" s="161" t="s">
        <v>227</v>
      </c>
      <c r="B42" s="162"/>
      <c r="C42" s="162"/>
      <c r="D42" s="162"/>
      <c r="E42" s="162"/>
      <c r="F42" s="162"/>
      <c r="G42" s="163"/>
      <c r="H42" s="58">
        <v>0</v>
      </c>
    </row>
    <row r="43" spans="1:8" ht="18" thickBot="1" x14ac:dyDescent="0.35">
      <c r="A43" s="125" t="s">
        <v>212</v>
      </c>
      <c r="B43" s="126"/>
      <c r="C43" s="127"/>
      <c r="D43" s="57" t="s">
        <v>21</v>
      </c>
      <c r="E43" s="136" t="s">
        <v>22</v>
      </c>
      <c r="F43" s="137"/>
      <c r="G43" s="136" t="s">
        <v>23</v>
      </c>
      <c r="H43" s="137"/>
    </row>
    <row r="44" spans="1:8" ht="15" customHeight="1" x14ac:dyDescent="0.25">
      <c r="A44" s="148"/>
      <c r="B44" s="149"/>
      <c r="C44" s="124"/>
      <c r="D44" s="124"/>
      <c r="E44" s="84" t="s">
        <v>24</v>
      </c>
      <c r="F44" s="85"/>
      <c r="G44" s="86">
        <f>SUM(H11:H42)</f>
        <v>0</v>
      </c>
      <c r="H44" s="87"/>
    </row>
    <row r="45" spans="1:8" ht="15.75" customHeight="1" thickBot="1" x14ac:dyDescent="0.3">
      <c r="A45" s="81"/>
      <c r="B45" s="82"/>
      <c r="C45" s="83"/>
      <c r="D45" s="83"/>
      <c r="E45" s="90" t="s">
        <v>25</v>
      </c>
      <c r="F45" s="91"/>
      <c r="G45" s="88"/>
      <c r="H45" s="89"/>
    </row>
    <row r="46" spans="1:8" ht="15" customHeight="1" x14ac:dyDescent="0.25">
      <c r="A46" s="60" t="s">
        <v>228</v>
      </c>
      <c r="B46" s="61"/>
      <c r="C46" s="61"/>
      <c r="D46" s="61"/>
      <c r="E46" s="61"/>
      <c r="F46" s="61"/>
      <c r="G46" s="61"/>
      <c r="H46" s="62"/>
    </row>
    <row r="47" spans="1:8" x14ac:dyDescent="0.25">
      <c r="A47" s="63"/>
      <c r="B47" s="64"/>
      <c r="C47" s="64"/>
      <c r="D47" s="64"/>
      <c r="E47" s="64"/>
      <c r="F47" s="64"/>
      <c r="G47" s="64"/>
      <c r="H47" s="65"/>
    </row>
    <row r="48" spans="1:8" ht="15.75" thickBot="1" x14ac:dyDescent="0.3">
      <c r="A48" s="66"/>
      <c r="B48" s="67"/>
      <c r="C48" s="67"/>
      <c r="D48" s="67"/>
      <c r="E48" s="67"/>
      <c r="F48" s="67"/>
      <c r="G48" s="67"/>
      <c r="H48" s="68"/>
    </row>
    <row r="54" spans="3:3" x14ac:dyDescent="0.25">
      <c r="C54" s="20"/>
    </row>
    <row r="55" spans="3:3" x14ac:dyDescent="0.25">
      <c r="C55" s="20"/>
    </row>
    <row r="56" spans="3:3" x14ac:dyDescent="0.25">
      <c r="C56" s="20"/>
    </row>
    <row r="57" spans="3:3" x14ac:dyDescent="0.25">
      <c r="C57" s="20"/>
    </row>
    <row r="58" spans="3:3" x14ac:dyDescent="0.25">
      <c r="C58" s="20"/>
    </row>
    <row r="59" spans="3:3" x14ac:dyDescent="0.25">
      <c r="C59" s="20"/>
    </row>
    <row r="60" spans="3:3" x14ac:dyDescent="0.25">
      <c r="C60" s="20"/>
    </row>
    <row r="61" spans="3:3" x14ac:dyDescent="0.25">
      <c r="C61" s="20"/>
    </row>
    <row r="62" spans="3:3" x14ac:dyDescent="0.25">
      <c r="C62" s="20"/>
    </row>
    <row r="63" spans="3:3" x14ac:dyDescent="0.25">
      <c r="C63" s="20"/>
    </row>
    <row r="64" spans="3:3" x14ac:dyDescent="0.25">
      <c r="C64" s="20"/>
    </row>
    <row r="65" spans="3:3" x14ac:dyDescent="0.25">
      <c r="C65" s="20"/>
    </row>
    <row r="66" spans="3:3" x14ac:dyDescent="0.25">
      <c r="C66" s="20"/>
    </row>
    <row r="67" spans="3:3" x14ac:dyDescent="0.25">
      <c r="C67" s="20"/>
    </row>
    <row r="68" spans="3:3" x14ac:dyDescent="0.25">
      <c r="C68" s="20"/>
    </row>
    <row r="69" spans="3:3" x14ac:dyDescent="0.25">
      <c r="C69" s="20"/>
    </row>
    <row r="70" spans="3:3" x14ac:dyDescent="0.25">
      <c r="C70" s="20"/>
    </row>
    <row r="71" spans="3:3" x14ac:dyDescent="0.25">
      <c r="C71" s="20"/>
    </row>
    <row r="72" spans="3:3" x14ac:dyDescent="0.25">
      <c r="C72" s="20"/>
    </row>
    <row r="73" spans="3:3" x14ac:dyDescent="0.25">
      <c r="C73" s="20"/>
    </row>
    <row r="74" spans="3:3" x14ac:dyDescent="0.25">
      <c r="C74" s="20"/>
    </row>
    <row r="75" spans="3:3" x14ac:dyDescent="0.25">
      <c r="C75" s="20"/>
    </row>
  </sheetData>
  <customSheetViews>
    <customSheetView guid="{85BC35B6-26B9-4872-96A0-51D7DF728029}" scale="90" showPageBreaks="1" showGridLines="0" fitToPage="1" topLeftCell="A6">
      <selection activeCell="D20" sqref="D20"/>
      <pageMargins left="0.19685039370078741" right="0.19685039370078741" top="0.78740157480314965" bottom="0.78740157480314965" header="0.31496062992125984" footer="0.31496062992125984"/>
      <printOptions horizontalCentered="1"/>
      <pageSetup paperSize="9" scale="69" orientation="portrait" horizontalDpi="300" verticalDpi="300" r:id="rId1"/>
    </customSheetView>
  </customSheetViews>
  <mergeCells count="41">
    <mergeCell ref="D4:E4"/>
    <mergeCell ref="D5:E5"/>
    <mergeCell ref="A8:C8"/>
    <mergeCell ref="D8:E8"/>
    <mergeCell ref="A41:G41"/>
    <mergeCell ref="F8:H8"/>
    <mergeCell ref="F7:H7"/>
    <mergeCell ref="A6:C6"/>
    <mergeCell ref="A4:C4"/>
    <mergeCell ref="A5:C5"/>
    <mergeCell ref="G4:H4"/>
    <mergeCell ref="G5:H5"/>
    <mergeCell ref="D6:E6"/>
    <mergeCell ref="A1:H1"/>
    <mergeCell ref="A2:B2"/>
    <mergeCell ref="C2:E2"/>
    <mergeCell ref="G2:H2"/>
    <mergeCell ref="G3:H3"/>
    <mergeCell ref="A3:C3"/>
    <mergeCell ref="D3:E3"/>
    <mergeCell ref="A46:H48"/>
    <mergeCell ref="G9:G10"/>
    <mergeCell ref="H9:H10"/>
    <mergeCell ref="E43:F43"/>
    <mergeCell ref="G43:H43"/>
    <mergeCell ref="E44:F44"/>
    <mergeCell ref="G44:H45"/>
    <mergeCell ref="E45:F45"/>
    <mergeCell ref="A9:A10"/>
    <mergeCell ref="B9:B10"/>
    <mergeCell ref="C9:C10"/>
    <mergeCell ref="D9:D10"/>
    <mergeCell ref="E9:E10"/>
    <mergeCell ref="A44:C45"/>
    <mergeCell ref="A42:G42"/>
    <mergeCell ref="F9:F10"/>
    <mergeCell ref="D44:D45"/>
    <mergeCell ref="A43:C43"/>
    <mergeCell ref="G6:H6"/>
    <mergeCell ref="A7:C7"/>
    <mergeCell ref="D7:E7"/>
  </mergeCells>
  <conditionalFormatting sqref="A8">
    <cfRule type="cellIs" dxfId="0" priority="1" operator="equal">
      <formula>0</formula>
    </cfRule>
  </conditionalFormatting>
  <dataValidations count="2">
    <dataValidation type="list" allowBlank="1" showInputMessage="1" showErrorMessage="1" sqref="K12:K13" xr:uid="{374413D4-C970-4ABE-8047-2B8A4F9D039E}">
      <formula1>$K$11:$K$13</formula1>
    </dataValidation>
    <dataValidation type="list" allowBlank="1" showInputMessage="1" showErrorMessage="1" sqref="A44:C45" xr:uid="{81979BBA-28E1-4237-A1EB-3395D4700E11}">
      <formula1>"Presencial, Ligação, Whatsapp, E-mail"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9" orientation="portrait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7DA538-5AAF-4275-8A65-8CF8DA8E6E28}">
          <x14:formula1>
            <xm:f>Cadastro!$A$2:$A$28</xm:f>
          </x14:formula1>
          <xm:sqref>C11:C40</xm:sqref>
        </x14:dataValidation>
        <x14:dataValidation type="list" allowBlank="1" showInputMessage="1" showErrorMessage="1" xr:uid="{B0E9E72E-9CD9-4161-AA1C-8897195BE84C}">
          <x14:formula1>
            <xm:f>Cadastro!$E$2:$E$43</xm:f>
          </x14:formula1>
          <xm:sqref>F8:H8</xm:sqref>
        </x14:dataValidation>
        <x14:dataValidation type="list" allowBlank="1" showInputMessage="1" showErrorMessage="1" xr:uid="{74DD4063-F13B-49F6-8B5A-49B45CB4EC38}">
          <x14:formula1>
            <xm:f>Cadastro!$C$2:$C$127</xm:f>
          </x14:formula1>
          <xm:sqref>D11:D40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F130-FE57-47F0-8B04-7ECA641E6E41}">
  <sheetPr codeName="Planilha3"/>
  <dimension ref="A1:J159"/>
  <sheetViews>
    <sheetView topLeftCell="A5" zoomScale="90" zoomScaleNormal="90" workbookViewId="0">
      <selection activeCell="I27" sqref="I27"/>
    </sheetView>
  </sheetViews>
  <sheetFormatPr defaultRowHeight="15" x14ac:dyDescent="0.25"/>
  <cols>
    <col min="1" max="1" width="15.42578125" customWidth="1"/>
    <col min="2" max="2" width="3" customWidth="1"/>
    <col min="3" max="3" width="58" customWidth="1"/>
    <col min="4" max="4" width="3.42578125" customWidth="1"/>
    <col min="5" max="5" width="46.85546875" bestFit="1" customWidth="1"/>
    <col min="6" max="6" width="3.42578125" customWidth="1"/>
    <col min="7" max="7" width="11.140625" customWidth="1"/>
    <col min="9" max="9" width="41.140625" customWidth="1"/>
  </cols>
  <sheetData>
    <row r="1" spans="1:10" x14ac:dyDescent="0.25">
      <c r="A1" s="23" t="s">
        <v>27</v>
      </c>
      <c r="B1" s="28"/>
      <c r="C1" s="24" t="s">
        <v>16</v>
      </c>
      <c r="E1" s="26" t="s">
        <v>131</v>
      </c>
    </row>
    <row r="2" spans="1:10" x14ac:dyDescent="0.25">
      <c r="A2" s="20" t="s">
        <v>28</v>
      </c>
      <c r="B2" s="20"/>
      <c r="C2" s="20" t="s">
        <v>50</v>
      </c>
      <c r="E2" t="s">
        <v>166</v>
      </c>
      <c r="H2" s="27"/>
      <c r="I2" s="27"/>
      <c r="J2" s="27"/>
    </row>
    <row r="3" spans="1:10" x14ac:dyDescent="0.25">
      <c r="A3" s="20" t="s">
        <v>29</v>
      </c>
      <c r="B3" s="20"/>
      <c r="C3" s="20" t="s">
        <v>51</v>
      </c>
      <c r="E3" t="s">
        <v>172</v>
      </c>
      <c r="H3" s="27"/>
      <c r="I3" s="27"/>
      <c r="J3" s="27"/>
    </row>
    <row r="4" spans="1:10" x14ac:dyDescent="0.25">
      <c r="A4" s="20" t="s">
        <v>30</v>
      </c>
      <c r="B4" s="20"/>
      <c r="C4" s="20" t="s">
        <v>52</v>
      </c>
      <c r="E4" t="s">
        <v>169</v>
      </c>
    </row>
    <row r="5" spans="1:10" x14ac:dyDescent="0.25">
      <c r="A5" s="20" t="s">
        <v>31</v>
      </c>
      <c r="B5" s="20"/>
      <c r="C5" s="20" t="s">
        <v>53</v>
      </c>
      <c r="E5" t="s">
        <v>224</v>
      </c>
    </row>
    <row r="6" spans="1:10" x14ac:dyDescent="0.25">
      <c r="A6" s="20" t="s">
        <v>32</v>
      </c>
      <c r="B6" s="20"/>
      <c r="C6" s="20" t="s">
        <v>54</v>
      </c>
      <c r="E6" t="s">
        <v>225</v>
      </c>
    </row>
    <row r="7" spans="1:10" x14ac:dyDescent="0.25">
      <c r="A7" s="20" t="s">
        <v>219</v>
      </c>
      <c r="B7" s="20"/>
      <c r="C7" s="20" t="s">
        <v>55</v>
      </c>
      <c r="E7" t="s">
        <v>175</v>
      </c>
    </row>
    <row r="8" spans="1:10" x14ac:dyDescent="0.25">
      <c r="A8" s="20" t="s">
        <v>206</v>
      </c>
      <c r="B8" s="20"/>
      <c r="C8" s="20" t="s">
        <v>56</v>
      </c>
      <c r="E8" t="s">
        <v>204</v>
      </c>
    </row>
    <row r="9" spans="1:10" x14ac:dyDescent="0.25">
      <c r="A9" s="20" t="s">
        <v>33</v>
      </c>
      <c r="B9" s="20"/>
      <c r="C9" s="20" t="s">
        <v>57</v>
      </c>
      <c r="E9" t="s">
        <v>205</v>
      </c>
    </row>
    <row r="10" spans="1:10" x14ac:dyDescent="0.25">
      <c r="A10" s="20" t="s">
        <v>202</v>
      </c>
      <c r="B10" s="20"/>
      <c r="C10" s="20" t="s">
        <v>58</v>
      </c>
      <c r="E10" t="s">
        <v>167</v>
      </c>
    </row>
    <row r="11" spans="1:10" x14ac:dyDescent="0.25">
      <c r="A11" s="20" t="s">
        <v>34</v>
      </c>
      <c r="B11" s="20"/>
      <c r="C11" s="20" t="s">
        <v>59</v>
      </c>
      <c r="E11" t="s">
        <v>168</v>
      </c>
    </row>
    <row r="12" spans="1:10" x14ac:dyDescent="0.25">
      <c r="A12" s="20" t="s">
        <v>210</v>
      </c>
      <c r="B12" s="20"/>
      <c r="C12" s="20" t="s">
        <v>60</v>
      </c>
      <c r="E12" s="20" t="s">
        <v>147</v>
      </c>
    </row>
    <row r="13" spans="1:10" x14ac:dyDescent="0.25">
      <c r="A13" s="20" t="s">
        <v>35</v>
      </c>
      <c r="B13" s="20"/>
      <c r="C13" s="20" t="s">
        <v>174</v>
      </c>
      <c r="E13" s="20" t="s">
        <v>148</v>
      </c>
    </row>
    <row r="14" spans="1:10" x14ac:dyDescent="0.25">
      <c r="A14" s="20" t="s">
        <v>36</v>
      </c>
      <c r="B14" s="20"/>
      <c r="C14" s="20" t="s">
        <v>61</v>
      </c>
      <c r="E14" s="20" t="s">
        <v>149</v>
      </c>
    </row>
    <row r="15" spans="1:10" x14ac:dyDescent="0.25">
      <c r="A15" s="20" t="s">
        <v>37</v>
      </c>
      <c r="B15" s="20"/>
      <c r="C15" s="20" t="s">
        <v>62</v>
      </c>
      <c r="E15" s="20" t="s">
        <v>173</v>
      </c>
    </row>
    <row r="16" spans="1:10" x14ac:dyDescent="0.25">
      <c r="A16" s="20" t="s">
        <v>38</v>
      </c>
      <c r="B16" s="20"/>
      <c r="C16" s="20" t="s">
        <v>63</v>
      </c>
      <c r="E16" s="20" t="s">
        <v>150</v>
      </c>
    </row>
    <row r="17" spans="1:5" x14ac:dyDescent="0.25">
      <c r="A17" s="20" t="s">
        <v>39</v>
      </c>
      <c r="B17" s="20"/>
      <c r="C17" s="20" t="s">
        <v>64</v>
      </c>
      <c r="E17" s="20" t="s">
        <v>151</v>
      </c>
    </row>
    <row r="18" spans="1:5" x14ac:dyDescent="0.25">
      <c r="A18" s="20" t="s">
        <v>40</v>
      </c>
      <c r="B18" s="20"/>
      <c r="C18" s="20" t="s">
        <v>65</v>
      </c>
      <c r="E18" s="20" t="s">
        <v>208</v>
      </c>
    </row>
    <row r="19" spans="1:5" x14ac:dyDescent="0.25">
      <c r="A19" s="20" t="s">
        <v>41</v>
      </c>
      <c r="B19" s="20"/>
      <c r="C19" s="20" t="s">
        <v>66</v>
      </c>
      <c r="E19" s="20" t="s">
        <v>209</v>
      </c>
    </row>
    <row r="20" spans="1:5" x14ac:dyDescent="0.25">
      <c r="A20" s="20" t="s">
        <v>220</v>
      </c>
      <c r="B20" s="20"/>
      <c r="C20" s="20" t="s">
        <v>67</v>
      </c>
      <c r="E20" s="20" t="s">
        <v>211</v>
      </c>
    </row>
    <row r="21" spans="1:5" x14ac:dyDescent="0.25">
      <c r="A21" s="20" t="s">
        <v>42</v>
      </c>
      <c r="B21" s="20"/>
      <c r="C21" s="20" t="s">
        <v>68</v>
      </c>
      <c r="E21" s="20" t="s">
        <v>152</v>
      </c>
    </row>
    <row r="22" spans="1:5" x14ac:dyDescent="0.25">
      <c r="A22" s="20" t="s">
        <v>43</v>
      </c>
      <c r="B22" s="20"/>
      <c r="C22" s="20" t="s">
        <v>69</v>
      </c>
      <c r="E22" s="20" t="s">
        <v>153</v>
      </c>
    </row>
    <row r="23" spans="1:5" x14ac:dyDescent="0.25">
      <c r="A23" s="20" t="s">
        <v>44</v>
      </c>
      <c r="B23" s="20"/>
      <c r="C23" s="20" t="s">
        <v>70</v>
      </c>
      <c r="E23" s="20" t="s">
        <v>154</v>
      </c>
    </row>
    <row r="24" spans="1:5" x14ac:dyDescent="0.25">
      <c r="A24" s="20" t="s">
        <v>45</v>
      </c>
      <c r="B24" s="20"/>
      <c r="C24" s="20" t="s">
        <v>71</v>
      </c>
      <c r="E24" s="20" t="s">
        <v>155</v>
      </c>
    </row>
    <row r="25" spans="1:5" x14ac:dyDescent="0.25">
      <c r="A25" s="20" t="s">
        <v>46</v>
      </c>
      <c r="C25" s="20" t="s">
        <v>72</v>
      </c>
      <c r="E25" s="20" t="s">
        <v>156</v>
      </c>
    </row>
    <row r="26" spans="1:5" x14ac:dyDescent="0.25">
      <c r="A26" s="20" t="s">
        <v>47</v>
      </c>
      <c r="C26" s="20" t="s">
        <v>73</v>
      </c>
      <c r="E26" s="20" t="s">
        <v>157</v>
      </c>
    </row>
    <row r="27" spans="1:5" x14ac:dyDescent="0.25">
      <c r="A27" s="20" t="s">
        <v>48</v>
      </c>
      <c r="C27" s="20" t="s">
        <v>74</v>
      </c>
      <c r="E27" s="20" t="s">
        <v>158</v>
      </c>
    </row>
    <row r="28" spans="1:5" x14ac:dyDescent="0.25">
      <c r="A28" s="20" t="s">
        <v>49</v>
      </c>
      <c r="C28" s="20" t="s">
        <v>203</v>
      </c>
      <c r="E28" s="20" t="s">
        <v>159</v>
      </c>
    </row>
    <row r="29" spans="1:5" x14ac:dyDescent="0.25">
      <c r="C29" s="20" t="s">
        <v>75</v>
      </c>
      <c r="E29" s="20" t="s">
        <v>134</v>
      </c>
    </row>
    <row r="30" spans="1:5" x14ac:dyDescent="0.25">
      <c r="C30" s="20" t="s">
        <v>76</v>
      </c>
      <c r="E30" s="20" t="s">
        <v>135</v>
      </c>
    </row>
    <row r="31" spans="1:5" x14ac:dyDescent="0.25">
      <c r="C31" s="20" t="s">
        <v>77</v>
      </c>
      <c r="E31" s="20" t="s">
        <v>136</v>
      </c>
    </row>
    <row r="32" spans="1:5" x14ac:dyDescent="0.25">
      <c r="C32" s="20" t="s">
        <v>78</v>
      </c>
      <c r="E32" s="20" t="s">
        <v>137</v>
      </c>
    </row>
    <row r="33" spans="3:5" x14ac:dyDescent="0.25">
      <c r="C33" s="20" t="s">
        <v>79</v>
      </c>
      <c r="E33" s="20" t="s">
        <v>138</v>
      </c>
    </row>
    <row r="34" spans="3:5" x14ac:dyDescent="0.25">
      <c r="C34" s="20" t="s">
        <v>80</v>
      </c>
      <c r="E34" s="20" t="s">
        <v>139</v>
      </c>
    </row>
    <row r="35" spans="3:5" x14ac:dyDescent="0.25">
      <c r="C35" s="20" t="s">
        <v>81</v>
      </c>
      <c r="E35" s="20" t="s">
        <v>140</v>
      </c>
    </row>
    <row r="36" spans="3:5" x14ac:dyDescent="0.25">
      <c r="C36" s="20" t="s">
        <v>213</v>
      </c>
      <c r="E36" s="20" t="s">
        <v>141</v>
      </c>
    </row>
    <row r="37" spans="3:5" x14ac:dyDescent="0.25">
      <c r="C37" s="20" t="s">
        <v>214</v>
      </c>
      <c r="E37" s="20" t="s">
        <v>142</v>
      </c>
    </row>
    <row r="38" spans="3:5" x14ac:dyDescent="0.25">
      <c r="C38" s="20" t="s">
        <v>216</v>
      </c>
      <c r="E38" s="20" t="s">
        <v>143</v>
      </c>
    </row>
    <row r="39" spans="3:5" x14ac:dyDescent="0.25">
      <c r="C39" s="20" t="s">
        <v>215</v>
      </c>
      <c r="E39" s="20" t="s">
        <v>144</v>
      </c>
    </row>
    <row r="40" spans="3:5" x14ac:dyDescent="0.25">
      <c r="C40" s="20" t="s">
        <v>82</v>
      </c>
      <c r="E40" s="20" t="s">
        <v>145</v>
      </c>
    </row>
    <row r="41" spans="3:5" x14ac:dyDescent="0.25">
      <c r="C41" s="20" t="s">
        <v>83</v>
      </c>
      <c r="E41" s="20" t="s">
        <v>146</v>
      </c>
    </row>
    <row r="42" spans="3:5" x14ac:dyDescent="0.25">
      <c r="C42" s="20" t="s">
        <v>84</v>
      </c>
      <c r="E42" s="20" t="s">
        <v>132</v>
      </c>
    </row>
    <row r="43" spans="3:5" x14ac:dyDescent="0.25">
      <c r="C43" s="20" t="s">
        <v>161</v>
      </c>
      <c r="E43" s="20" t="s">
        <v>133</v>
      </c>
    </row>
    <row r="44" spans="3:5" x14ac:dyDescent="0.25">
      <c r="C44" s="20" t="s">
        <v>85</v>
      </c>
    </row>
    <row r="45" spans="3:5" x14ac:dyDescent="0.25">
      <c r="C45" s="20" t="s">
        <v>86</v>
      </c>
    </row>
    <row r="46" spans="3:5" x14ac:dyDescent="0.25">
      <c r="C46" s="20" t="s">
        <v>87</v>
      </c>
    </row>
    <row r="47" spans="3:5" x14ac:dyDescent="0.25">
      <c r="C47" s="20" t="s">
        <v>217</v>
      </c>
    </row>
    <row r="48" spans="3:5" x14ac:dyDescent="0.25">
      <c r="C48" s="20" t="s">
        <v>88</v>
      </c>
    </row>
    <row r="49" spans="3:3" x14ac:dyDescent="0.25">
      <c r="C49" s="20" t="s">
        <v>89</v>
      </c>
    </row>
    <row r="50" spans="3:3" x14ac:dyDescent="0.25">
      <c r="C50" s="20" t="s">
        <v>221</v>
      </c>
    </row>
    <row r="51" spans="3:3" x14ac:dyDescent="0.25">
      <c r="C51" s="20" t="s">
        <v>90</v>
      </c>
    </row>
    <row r="52" spans="3:3" x14ac:dyDescent="0.25">
      <c r="C52" s="20" t="s">
        <v>91</v>
      </c>
    </row>
    <row r="53" spans="3:3" x14ac:dyDescent="0.25">
      <c r="C53" s="20" t="s">
        <v>222</v>
      </c>
    </row>
    <row r="54" spans="3:3" x14ac:dyDescent="0.25">
      <c r="C54" s="20" t="s">
        <v>92</v>
      </c>
    </row>
    <row r="55" spans="3:3" x14ac:dyDescent="0.25">
      <c r="C55" s="20" t="s">
        <v>93</v>
      </c>
    </row>
    <row r="56" spans="3:3" x14ac:dyDescent="0.25">
      <c r="C56" s="20" t="s">
        <v>94</v>
      </c>
    </row>
    <row r="57" spans="3:3" x14ac:dyDescent="0.25">
      <c r="C57" s="20" t="s">
        <v>95</v>
      </c>
    </row>
    <row r="58" spans="3:3" x14ac:dyDescent="0.25">
      <c r="C58" s="20" t="s">
        <v>96</v>
      </c>
    </row>
    <row r="59" spans="3:3" x14ac:dyDescent="0.25">
      <c r="C59" s="20" t="s">
        <v>97</v>
      </c>
    </row>
    <row r="60" spans="3:3" x14ac:dyDescent="0.25">
      <c r="C60" s="20" t="s">
        <v>98</v>
      </c>
    </row>
    <row r="61" spans="3:3" x14ac:dyDescent="0.25">
      <c r="C61" s="20" t="s">
        <v>99</v>
      </c>
    </row>
    <row r="62" spans="3:3" x14ac:dyDescent="0.25">
      <c r="C62" s="20" t="s">
        <v>100</v>
      </c>
    </row>
    <row r="63" spans="3:3" x14ac:dyDescent="0.25">
      <c r="C63" s="20" t="s">
        <v>101</v>
      </c>
    </row>
    <row r="64" spans="3:3" x14ac:dyDescent="0.25">
      <c r="C64" s="20" t="s">
        <v>102</v>
      </c>
    </row>
    <row r="65" spans="3:3" x14ac:dyDescent="0.25">
      <c r="C65" s="20" t="s">
        <v>103</v>
      </c>
    </row>
    <row r="66" spans="3:3" x14ac:dyDescent="0.25">
      <c r="C66" s="20" t="s">
        <v>104</v>
      </c>
    </row>
    <row r="67" spans="3:3" x14ac:dyDescent="0.25">
      <c r="C67" s="20" t="s">
        <v>105</v>
      </c>
    </row>
    <row r="68" spans="3:3" x14ac:dyDescent="0.25">
      <c r="C68" s="20" t="s">
        <v>106</v>
      </c>
    </row>
    <row r="69" spans="3:3" x14ac:dyDescent="0.25">
      <c r="C69" s="20" t="s">
        <v>107</v>
      </c>
    </row>
    <row r="70" spans="3:3" x14ac:dyDescent="0.25">
      <c r="C70" s="20" t="s">
        <v>108</v>
      </c>
    </row>
    <row r="71" spans="3:3" x14ac:dyDescent="0.25">
      <c r="C71" s="20" t="s">
        <v>109</v>
      </c>
    </row>
    <row r="72" spans="3:3" x14ac:dyDescent="0.25">
      <c r="C72" s="20" t="s">
        <v>110</v>
      </c>
    </row>
    <row r="73" spans="3:3" x14ac:dyDescent="0.25">
      <c r="C73" s="20" t="s">
        <v>111</v>
      </c>
    </row>
    <row r="74" spans="3:3" x14ac:dyDescent="0.25">
      <c r="C74" s="20" t="s">
        <v>112</v>
      </c>
    </row>
    <row r="75" spans="3:3" x14ac:dyDescent="0.25">
      <c r="C75" s="20" t="s">
        <v>113</v>
      </c>
    </row>
    <row r="76" spans="3:3" x14ac:dyDescent="0.25">
      <c r="C76" s="20" t="s">
        <v>114</v>
      </c>
    </row>
    <row r="77" spans="3:3" x14ac:dyDescent="0.25">
      <c r="C77" s="20" t="s">
        <v>115</v>
      </c>
    </row>
    <row r="78" spans="3:3" x14ac:dyDescent="0.25">
      <c r="C78" s="20" t="s">
        <v>116</v>
      </c>
    </row>
    <row r="79" spans="3:3" x14ac:dyDescent="0.25">
      <c r="C79" s="20" t="s">
        <v>117</v>
      </c>
    </row>
    <row r="80" spans="3:3" x14ac:dyDescent="0.25">
      <c r="C80" s="20" t="s">
        <v>118</v>
      </c>
    </row>
    <row r="81" spans="3:3" x14ac:dyDescent="0.25">
      <c r="C81" s="20" t="s">
        <v>207</v>
      </c>
    </row>
    <row r="82" spans="3:3" x14ac:dyDescent="0.25">
      <c r="C82" s="20" t="s">
        <v>119</v>
      </c>
    </row>
    <row r="83" spans="3:3" x14ac:dyDescent="0.25">
      <c r="C83" s="20" t="s">
        <v>120</v>
      </c>
    </row>
    <row r="84" spans="3:3" x14ac:dyDescent="0.25">
      <c r="C84" s="20" t="s">
        <v>121</v>
      </c>
    </row>
    <row r="85" spans="3:3" x14ac:dyDescent="0.25">
      <c r="C85" s="20" t="s">
        <v>122</v>
      </c>
    </row>
    <row r="86" spans="3:3" x14ac:dyDescent="0.25">
      <c r="C86" s="20" t="s">
        <v>223</v>
      </c>
    </row>
    <row r="87" spans="3:3" x14ac:dyDescent="0.25">
      <c r="C87" s="20" t="s">
        <v>170</v>
      </c>
    </row>
    <row r="88" spans="3:3" x14ac:dyDescent="0.25">
      <c r="C88" s="20" t="s">
        <v>171</v>
      </c>
    </row>
    <row r="89" spans="3:3" x14ac:dyDescent="0.25">
      <c r="C89" s="20" t="s">
        <v>197</v>
      </c>
    </row>
    <row r="90" spans="3:3" x14ac:dyDescent="0.25">
      <c r="C90" s="20" t="s">
        <v>198</v>
      </c>
    </row>
    <row r="91" spans="3:3" x14ac:dyDescent="0.25">
      <c r="C91" s="20" t="s">
        <v>199</v>
      </c>
    </row>
    <row r="92" spans="3:3" x14ac:dyDescent="0.25">
      <c r="C92" s="20" t="s">
        <v>200</v>
      </c>
    </row>
    <row r="93" spans="3:3" x14ac:dyDescent="0.25">
      <c r="C93" s="20" t="s">
        <v>201</v>
      </c>
    </row>
    <row r="94" spans="3:3" x14ac:dyDescent="0.25">
      <c r="C94" s="20" t="s">
        <v>218</v>
      </c>
    </row>
    <row r="95" spans="3:3" x14ac:dyDescent="0.25">
      <c r="C95" s="20" t="s">
        <v>165</v>
      </c>
    </row>
    <row r="96" spans="3:3" x14ac:dyDescent="0.25">
      <c r="C96" s="20" t="s">
        <v>164</v>
      </c>
    </row>
    <row r="97" spans="3:3" x14ac:dyDescent="0.25">
      <c r="C97" s="20" t="s">
        <v>123</v>
      </c>
    </row>
    <row r="98" spans="3:3" x14ac:dyDescent="0.25">
      <c r="C98" s="20" t="s">
        <v>124</v>
      </c>
    </row>
    <row r="99" spans="3:3" x14ac:dyDescent="0.25">
      <c r="C99" s="20" t="s">
        <v>162</v>
      </c>
    </row>
    <row r="100" spans="3:3" x14ac:dyDescent="0.25">
      <c r="C100" s="20" t="s">
        <v>163</v>
      </c>
    </row>
    <row r="101" spans="3:3" x14ac:dyDescent="0.25">
      <c r="C101" s="20" t="s">
        <v>125</v>
      </c>
    </row>
    <row r="102" spans="3:3" x14ac:dyDescent="0.25">
      <c r="C102" s="20" t="s">
        <v>126</v>
      </c>
    </row>
    <row r="103" spans="3:3" x14ac:dyDescent="0.25">
      <c r="C103" s="20" t="s">
        <v>127</v>
      </c>
    </row>
    <row r="104" spans="3:3" x14ac:dyDescent="0.25">
      <c r="C104" s="20" t="s">
        <v>128</v>
      </c>
    </row>
    <row r="105" spans="3:3" x14ac:dyDescent="0.25">
      <c r="C105" s="20" t="s">
        <v>129</v>
      </c>
    </row>
    <row r="106" spans="3:3" x14ac:dyDescent="0.25">
      <c r="C106" s="20" t="s">
        <v>130</v>
      </c>
    </row>
    <row r="107" spans="3:3" x14ac:dyDescent="0.25">
      <c r="C107" s="22" t="s">
        <v>176</v>
      </c>
    </row>
    <row r="108" spans="3:3" x14ac:dyDescent="0.25">
      <c r="C108" s="22" t="s">
        <v>177</v>
      </c>
    </row>
    <row r="109" spans="3:3" x14ac:dyDescent="0.25">
      <c r="C109" s="22" t="s">
        <v>178</v>
      </c>
    </row>
    <row r="110" spans="3:3" x14ac:dyDescent="0.25">
      <c r="C110" s="22" t="s">
        <v>179</v>
      </c>
    </row>
    <row r="111" spans="3:3" x14ac:dyDescent="0.25">
      <c r="C111" s="22" t="s">
        <v>180</v>
      </c>
    </row>
    <row r="112" spans="3:3" x14ac:dyDescent="0.25">
      <c r="C112" s="22" t="s">
        <v>181</v>
      </c>
    </row>
    <row r="113" spans="3:3" x14ac:dyDescent="0.25">
      <c r="C113" s="22" t="s">
        <v>182</v>
      </c>
    </row>
    <row r="114" spans="3:3" x14ac:dyDescent="0.25">
      <c r="C114" s="22" t="s">
        <v>183</v>
      </c>
    </row>
    <row r="115" spans="3:3" x14ac:dyDescent="0.25">
      <c r="C115" s="22" t="s">
        <v>184</v>
      </c>
    </row>
    <row r="116" spans="3:3" x14ac:dyDescent="0.25">
      <c r="C116" s="22" t="s">
        <v>185</v>
      </c>
    </row>
    <row r="117" spans="3:3" x14ac:dyDescent="0.25">
      <c r="C117" s="22" t="s">
        <v>186</v>
      </c>
    </row>
    <row r="118" spans="3:3" x14ac:dyDescent="0.25">
      <c r="C118" s="22" t="s">
        <v>187</v>
      </c>
    </row>
    <row r="119" spans="3:3" x14ac:dyDescent="0.25">
      <c r="C119" s="22" t="s">
        <v>188</v>
      </c>
    </row>
    <row r="120" spans="3:3" x14ac:dyDescent="0.25">
      <c r="C120" s="22" t="s">
        <v>189</v>
      </c>
    </row>
    <row r="121" spans="3:3" x14ac:dyDescent="0.25">
      <c r="C121" s="22" t="s">
        <v>190</v>
      </c>
    </row>
    <row r="122" spans="3:3" x14ac:dyDescent="0.25">
      <c r="C122" s="22" t="s">
        <v>191</v>
      </c>
    </row>
    <row r="123" spans="3:3" x14ac:dyDescent="0.25">
      <c r="C123" s="22" t="s">
        <v>192</v>
      </c>
    </row>
    <row r="124" spans="3:3" x14ac:dyDescent="0.25">
      <c r="C124" s="22" t="s">
        <v>193</v>
      </c>
    </row>
    <row r="125" spans="3:3" x14ac:dyDescent="0.25">
      <c r="C125" s="22" t="s">
        <v>194</v>
      </c>
    </row>
    <row r="126" spans="3:3" x14ac:dyDescent="0.25">
      <c r="C126" s="22" t="s">
        <v>195</v>
      </c>
    </row>
    <row r="127" spans="3:3" x14ac:dyDescent="0.25">
      <c r="C127" s="22" t="s">
        <v>196</v>
      </c>
    </row>
    <row r="139" spans="1:2" x14ac:dyDescent="0.25">
      <c r="B139" s="20"/>
    </row>
    <row r="140" spans="1:2" x14ac:dyDescent="0.25">
      <c r="B140" s="25"/>
    </row>
    <row r="141" spans="1:2" x14ac:dyDescent="0.25">
      <c r="A141" s="20"/>
      <c r="B141" s="20"/>
    </row>
    <row r="142" spans="1:2" x14ac:dyDescent="0.25">
      <c r="A142" s="25"/>
      <c r="B142" s="20"/>
    </row>
    <row r="143" spans="1:2" x14ac:dyDescent="0.25">
      <c r="A143" s="20"/>
      <c r="B143" s="20"/>
    </row>
    <row r="144" spans="1:2" x14ac:dyDescent="0.25">
      <c r="A144" s="20"/>
      <c r="B144" s="20"/>
    </row>
    <row r="145" spans="1:2" x14ac:dyDescent="0.25">
      <c r="A145" s="20"/>
      <c r="B145" s="25"/>
    </row>
    <row r="146" spans="1:2" x14ac:dyDescent="0.25">
      <c r="A146" s="20"/>
      <c r="B146" s="25"/>
    </row>
    <row r="147" spans="1:2" x14ac:dyDescent="0.25">
      <c r="A147" s="25"/>
      <c r="B147" s="25"/>
    </row>
    <row r="148" spans="1:2" x14ac:dyDescent="0.25">
      <c r="A148" s="25"/>
      <c r="B148" s="25"/>
    </row>
    <row r="149" spans="1:2" x14ac:dyDescent="0.25">
      <c r="A149" s="25"/>
      <c r="B149" s="25"/>
    </row>
    <row r="150" spans="1:2" x14ac:dyDescent="0.25">
      <c r="A150" s="25"/>
      <c r="B150" s="25"/>
    </row>
    <row r="151" spans="1:2" x14ac:dyDescent="0.25">
      <c r="A151" s="25"/>
      <c r="B151" s="25"/>
    </row>
    <row r="152" spans="1:2" x14ac:dyDescent="0.25">
      <c r="A152" s="25"/>
      <c r="B152" s="25"/>
    </row>
    <row r="153" spans="1:2" x14ac:dyDescent="0.25">
      <c r="A153" s="25"/>
      <c r="B153" s="25"/>
    </row>
    <row r="154" spans="1:2" x14ac:dyDescent="0.25">
      <c r="A154" s="25"/>
      <c r="B154" s="25"/>
    </row>
    <row r="155" spans="1:2" x14ac:dyDescent="0.25">
      <c r="A155" s="25"/>
      <c r="B155" s="25"/>
    </row>
    <row r="156" spans="1:2" x14ac:dyDescent="0.25">
      <c r="A156" s="25"/>
      <c r="B156" s="25"/>
    </row>
    <row r="157" spans="1:2" x14ac:dyDescent="0.25">
      <c r="A157" s="25"/>
      <c r="B157" s="25"/>
    </row>
    <row r="158" spans="1:2" x14ac:dyDescent="0.25">
      <c r="A158" s="25"/>
    </row>
    <row r="159" spans="1:2" x14ac:dyDescent="0.25">
      <c r="A159" s="25"/>
    </row>
  </sheetData>
  <customSheetViews>
    <customSheetView guid="{85BC35B6-26B9-4872-96A0-51D7DF728029}" scale="60" state="hidden">
      <selection activeCell="L2377" sqref="L2377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phoneticPr fontId="2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Modelo</vt:lpstr>
      <vt:lpstr>Pedido</vt:lpstr>
      <vt:lpstr>Cadastro</vt:lpstr>
      <vt:lpstr>Pedido!Area_de_impressao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Shaiane</dc:creator>
  <cp:lastModifiedBy>Stenio</cp:lastModifiedBy>
  <cp:lastPrinted>2024-11-21T12:40:42Z</cp:lastPrinted>
  <dcterms:created xsi:type="dcterms:W3CDTF">2023-02-19T21:57:24Z</dcterms:created>
  <dcterms:modified xsi:type="dcterms:W3CDTF">2026-08-05T01:12:16Z</dcterms:modified>
</cp:coreProperties>
</file>